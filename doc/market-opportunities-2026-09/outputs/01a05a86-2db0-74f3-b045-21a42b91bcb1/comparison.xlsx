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6be62ad53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先级" sheetId="1" r:id="R3b5b123382cc44d6"/>
    <x:sheet xmlns:r="http://schemas.openxmlformats.org/officeDocument/2006/relationships" name="50项目对比" sheetId="2" r:id="R55544a905e6c4a27"/>
    <x:sheet xmlns:r="http://schemas.openxmlformats.org/officeDocument/2006/relationships" name="评分参数" sheetId="3" r:id="Ra3df959e1ca640db"/>
    <x:sheet xmlns:r="http://schemas.openxmlformats.org/officeDocument/2006/relationships" name="来源" sheetId="4" r:id="R2a87ee55bc98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&quot;¥&quot;#,##0"/>
    <x:numFmt numFmtId="202" formatCode="0"/>
    <x:numFmt numFmtId="203" formatCode="0.00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4213D"/>
      <x:name val="Carlito"/>
    </x:font>
    <x:font>
      <x:b/>
      <x:sz val="11"/>
      <x:name val="Carlito"/>
    </x:font>
    <x:font>
      <x:i/>
      <x:sz val="11"/>
      <x:color rgb="FF64748B"/>
      <x:name val="Carlito"/>
    </x:font>
    <x:font>
      <x:b/>
      <x:sz val="18"/>
      <x:color rgb="FF14213D"/>
      <x:name val="Carlito"/>
    </x:font>
    <x:font>
      <x:b/>
      <x:sz val="14"/>
      <x:color rgb="FFFFFFFF"/>
      <x:name val="Carlito"/>
    </x:font>
    <x:font>
      <x:sz val="11"/>
      <x:color rgb="FF14213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CCFBF1"/>
      </x:patternFill>
    </x:fill>
  </x:fills>
  <x:borders count="1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F59E0B"/>
      </x:left>
      <x:right style="thin">
        <x:color rgb="FFCBD5E1"/>
      </x:right>
      <x:top style="thin">
        <x:color rgb="FFF59E0B"/>
      </x:top>
      <x:bottom style="thin">
        <x:color rgb="FFF59E0B"/>
      </x:bottom>
    </x:border>
    <x:border>
      <x:left style="thin">
        <x:color rgb="FFCBD5E1"/>
      </x:left>
      <x:right style="thin">
        <x:color rgb="FFCBD5E1"/>
      </x:right>
      <x:top style="thin">
        <x:color rgb="FFF59E0B"/>
      </x:top>
      <x:bottom style="thin">
        <x:color rgb="FFF59E0B"/>
      </x:bottom>
    </x:border>
    <x:border>
      <x:left style="thin">
        <x:color rgb="FFCBD5E1"/>
      </x:left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0" borderId="4" xfId="0" applyNumberFormat="1" applyFont="1" applyFill="1" applyBorder="1"/>
    <x:xf numFmtId="200" fontId="3" fillId="4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200" fontId="3" fillId="4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3" fillId="4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3" fillId="4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200" fontId="3" fillId="4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3" fillId="4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200" fontId="0" fillId="5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200" fontId="4" fillId="5" borderId="9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200" fontId="4" fillId="5" borderId="12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203" fontId="0" fillId="0" borderId="9" xfId="0" applyNumberFormat="1" applyFont="1" applyFill="1" applyBorder="1"/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201" fontId="0" fillId="0" borderId="5" xfId="0" applyNumberFormat="1" applyFont="1" applyFill="1" applyBorder="1" applyAlignment="1">
      <x:alignment horizontal="right" vertical="top" wrapText="1"/>
    </x:xf>
    <x:xf numFmtId="0" fontId="0" fillId="0" borderId="5" xfId="0" applyNumberFormat="1" applyFont="1" applyFill="1" applyBorder="1" applyAlignment="1">
      <x:alignment horizontal="right" vertical="top" wrapText="1"/>
    </x:xf>
    <x:xf numFmtId="202" fontId="0" fillId="0" borderId="5" xfId="0" applyNumberFormat="1" applyFont="1" applyFill="1" applyBorder="1" applyAlignment="1">
      <x:alignment horizontal="right" vertical="top" wrapText="1"/>
    </x:xf>
    <x:xf numFmtId="203" fontId="0" fillId="0" borderId="5" xfId="0" applyNumberFormat="1" applyFont="1" applyFill="1" applyBorder="1" applyAlignment="1">
      <x:alignment horizontal="right" vertical="top" wrapText="1"/>
    </x:xf>
    <x:xf numFmtId="201" fontId="0" fillId="0" borderId="7" xfId="0" applyNumberFormat="1" applyFont="1" applyFill="1" applyBorder="1" applyAlignment="1">
      <x:alignment horizontal="right" vertical="top" wrapText="1"/>
    </x:xf>
    <x:xf numFmtId="0" fontId="0" fillId="0" borderId="7" xfId="0" applyNumberFormat="1" applyFont="1" applyFill="1" applyBorder="1" applyAlignment="1">
      <x:alignment horizontal="right" vertical="top" wrapText="1"/>
    </x:xf>
    <x:xf numFmtId="202" fontId="0" fillId="0" borderId="7" xfId="0" applyNumberFormat="1" applyFont="1" applyFill="1" applyBorder="1" applyAlignment="1">
      <x:alignment horizontal="right" vertical="top" wrapText="1"/>
    </x:xf>
    <x:xf numFmtId="203" fontId="0" fillId="0" borderId="7" xfId="0" applyNumberFormat="1" applyFont="1" applyFill="1" applyBorder="1" applyAlignment="1">
      <x:alignment horizontal="right" vertical="top" wrapText="1"/>
    </x:xf>
    <x:xf numFmtId="201" fontId="0" fillId="0" borderId="9" xfId="0" applyNumberFormat="1" applyFont="1" applyFill="1" applyBorder="1" applyAlignment="1">
      <x:alignment horizontal="right" vertical="top" wrapText="1"/>
    </x:xf>
    <x:xf numFmtId="0" fontId="0" fillId="0" borderId="9" xfId="0" applyNumberFormat="1" applyFont="1" applyFill="1" applyBorder="1" applyAlignment="1">
      <x:alignment horizontal="right" vertical="top" wrapText="1"/>
    </x:xf>
    <x:xf numFmtId="202" fontId="0" fillId="0" borderId="9" xfId="0" applyNumberFormat="1" applyFont="1" applyFill="1" applyBorder="1" applyAlignment="1">
      <x:alignment horizontal="right" vertical="top" wrapText="1"/>
    </x:xf>
    <x:xf numFmtId="203" fontId="0" fillId="0" borderId="9" xfId="0" applyNumberFormat="1" applyFont="1" applyFill="1" applyBorder="1" applyAlignment="1">
      <x:alignment horizontal="right"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8" xfId="0" applyNumberFormat="1" applyFont="1" applyFill="1" applyBorder="1"/>
    <x:xf numFmtId="0" fontId="6" fillId="7" borderId="6" xfId="0" applyNumberFormat="1" applyFont="1" applyFill="1" applyBorder="1"/>
    <x:xf numFmtId="0" fontId="6" fillId="7" borderId="4" xfId="0" applyNumberFormat="1" applyFont="1" applyFill="1" applyBorder="1"/>
    <x:xf numFmtId="202" fontId="6" fillId="7" borderId="10" xfId="0" applyNumberFormat="1" applyFont="1" applyFill="1" applyBorder="1"/>
    <x:xf numFmtId="202" fontId="6" fillId="7" borderId="8" xfId="0" applyNumberFormat="1" applyFont="1" applyFill="1" applyBorder="1"/>
    <x:xf numFmtId="202" fontId="6" fillId="7" borderId="6" xfId="0" applyNumberFormat="1" applyFont="1" applyFill="1" applyBorder="1"/>
    <x:xf numFmtId="202" fontId="6" fillId="7" borderId="4" xfId="0" applyNumberFormat="1" applyFont="1" applyFill="1" applyBorder="1"/>
    <x:xf numFmtId="202" fontId="6" fillId="7" borderId="10" xfId="0" applyNumberFormat="1" applyFont="1" applyFill="1" applyBorder="1" applyAlignment="1">
      <x:alignment horizontal="center"/>
    </x:xf>
    <x:xf numFmtId="202" fontId="6" fillId="7" borderId="8" xfId="0" applyNumberFormat="1" applyFont="1" applyFill="1" applyBorder="1" applyAlignment="1">
      <x:alignment horizontal="center"/>
    </x:xf>
    <x:xf numFmtId="202" fontId="6" fillId="7" borderId="6" xfId="0" applyNumberFormat="1" applyFont="1" applyFill="1" applyBorder="1" applyAlignment="1">
      <x:alignment horizontal="center"/>
    </x:xf>
    <x:xf numFmtId="202" fontId="6" fillId="7" borderId="4" xfId="0" applyNumberFormat="1" applyFont="1" applyFill="1" applyBorder="1" applyAlignment="1">
      <x:alignment horizontal="center"/>
    </x:xf>
    <x:xf numFmtId="202" fontId="6" fillId="7" borderId="10" xfId="0" applyNumberFormat="1" applyFont="1" applyFill="1" applyBorder="1" applyAlignment="1">
      <x:alignment horizontal="center" vertical="center"/>
    </x:xf>
    <x:xf numFmtId="202" fontId="6" fillId="7" borderId="8" xfId="0" applyNumberFormat="1" applyFont="1" applyFill="1" applyBorder="1" applyAlignment="1">
      <x:alignment horizontal="center" vertical="center"/>
    </x:xf>
    <x:xf numFmtId="202" fontId="6" fillId="7" borderId="6" xfId="0" applyNumberFormat="1" applyFont="1" applyFill="1" applyBorder="1" applyAlignment="1">
      <x:alignment horizontal="center" vertical="center"/>
    </x:xf>
    <x:xf numFmtId="202" fontId="6" fillId="7" borderId="4" xfId="0" applyNumberFormat="1" applyFont="1" applyFill="1" applyBorder="1" applyAlignment="1">
      <x:alignment horizontal="center" vertical="center"/>
    </x:xf>
    <x:xf numFmtId="201" fontId="6" fillId="7" borderId="10" xfId="0" applyNumberFormat="1" applyFont="1" applyFill="1" applyBorder="1"/>
    <x:xf numFmtId="201" fontId="6" fillId="7" borderId="8" xfId="0" applyNumberFormat="1" applyFont="1" applyFill="1" applyBorder="1"/>
    <x:xf numFmtId="201" fontId="6" fillId="7" borderId="6" xfId="0" applyNumberFormat="1" applyFont="1" applyFill="1" applyBorder="1"/>
    <x:xf numFmtId="201" fontId="6" fillId="7" borderId="4" xfId="0" applyNumberFormat="1" applyFont="1" applyFill="1" applyBorder="1"/>
    <x:xf numFmtId="201" fontId="6" fillId="7" borderId="10" xfId="0" applyNumberFormat="1" applyFont="1" applyFill="1" applyBorder="1" applyAlignment="1">
      <x:alignment horizontal="center"/>
    </x:xf>
    <x:xf numFmtId="201" fontId="6" fillId="7" borderId="8" xfId="0" applyNumberFormat="1" applyFont="1" applyFill="1" applyBorder="1" applyAlignment="1">
      <x:alignment horizontal="center"/>
    </x:xf>
    <x:xf numFmtId="201" fontId="6" fillId="7" borderId="6" xfId="0" applyNumberFormat="1" applyFont="1" applyFill="1" applyBorder="1" applyAlignment="1">
      <x:alignment horizontal="center"/>
    </x:xf>
    <x:xf numFmtId="201" fontId="6" fillId="7" borderId="4" xfId="0" applyNumberFormat="1" applyFont="1" applyFill="1" applyBorder="1" applyAlignment="1">
      <x:alignment horizontal="center"/>
    </x:xf>
    <x:xf numFmtId="201" fontId="6" fillId="7" borderId="10" xfId="0" applyNumberFormat="1" applyFont="1" applyFill="1" applyBorder="1" applyAlignment="1">
      <x:alignment horizontal="center" vertical="center"/>
    </x:xf>
    <x:xf numFmtId="201" fontId="6" fillId="7" borderId="8" xfId="0" applyNumberFormat="1" applyFont="1" applyFill="1" applyBorder="1" applyAlignment="1">
      <x:alignment horizontal="center" vertical="center"/>
    </x:xf>
    <x:xf numFmtId="201" fontId="6" fillId="7" borderId="6" xfId="0" applyNumberFormat="1" applyFont="1" applyFill="1" applyBorder="1" applyAlignment="1">
      <x:alignment horizontal="center" vertical="center"/>
    </x:xf>
    <x:xf numFmtId="201" fontId="6" fillId="7" borderId="4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0" fillId="5" borderId="4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8" xfId="0" applyNumberFormat="1" applyFont="1" applyFill="1" applyBorder="1" applyAlignment="1">
      <x:alignment horizontal="center" vertical="top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3" xfId="0" applyNumberFormat="1" applyFont="1" applyFill="1" applyBorder="1"/>
    <x:xf numFmtId="0" fontId="8" fillId="6" borderId="7" xfId="0" applyNumberFormat="1" applyFont="1" applyFill="1" applyBorder="1"/>
    <x:xf numFmtId="0" fontId="8" fillId="6" borderId="1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CCFB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b68b68a7d4225" /><Relationship Type="http://schemas.openxmlformats.org/officeDocument/2006/relationships/theme" Target="/xl/theme/theme1.xml" Id="R53d505be960d44ee" /><Relationship Type="http://schemas.openxmlformats.org/officeDocument/2006/relationships/sharedStrings" Target="/xl/sharedStrings.xml" Id="R362e19885a6e4d10" /><Relationship Type="http://schemas.openxmlformats.org/officeDocument/2006/relationships/worksheet" Target="/xl/worksheets/sheet1.xml" Id="R3b5b123382cc44d6" /><Relationship Type="http://schemas.openxmlformats.org/officeDocument/2006/relationships/worksheet" Target="/xl/worksheets/sheet2.xml" Id="R55544a905e6c4a27" /><Relationship Type="http://schemas.openxmlformats.org/officeDocument/2006/relationships/worksheet" Target="/xl/worksheets/sheet3.xml" Id="Ra3df959e1ca640db" /><Relationship Type="http://schemas.openxmlformats.org/officeDocument/2006/relationships/worksheet" Target="/xl/worksheets/sheet4.xml" Id="R2a87ee55bc984a04" /></Relationships>
</file>

<file path=xl/tables/table1.xml><?xml version="1.0" encoding="utf-8"?>
<x:table xmlns:x="http://schemas.openxmlformats.org/spreadsheetml/2006/main" id="1" name="OpportunityComparison" displayName="OpportunityComparison" ref="A4:X54" headerRowCount="1" totalsRowCount="0" totalsRowShown="0">
  <x:autoFilter ref="A4:X54"/>
  <x:tableColumns count="24">
    <x:tableColumn id="1" name="动态优先级"/>
    <x:tableColumn id="2" name="ID"/>
    <x:tableColumn id="3" name="方法"/>
    <x:tableColumn id="4" name="类别"/>
    <x:tableColumn id="5" name="启动成本上限"/>
    <x:tableColumn id="6" name="难度"/>
    <x:tableColumn id="7" name="验证天数"/>
    <x:tableColumn id="8" name="保守月营收"/>
    <x:tableColumn id="9" name="中性月营收"/>
    <x:tableColumn id="10" name="乐观月营收"/>
    <x:tableColumn id="11" name="需求"/>
    <x:tableColumn id="12" name="速度"/>
    <x:tableColumn id="13" name="低成本"/>
    <x:tableColumn id="14" name="复购"/>
    <x:tableColumn id="15" name="自动化"/>
    <x:tableColumn id="16" name="获客"/>
    <x:tableColumn id="17" name="风险可控"/>
    <x:tableColumn id="18" name="综合分"/>
    <x:tableColumn id="19" name="成本口径 / 参考测试报价"/>
    <x:tableColumn id="20" name="最小付费验证"/>
    <x:tableColumn id="21" name="主要风险"/>
    <x:tableColumn id="22" name="首要来源URL"/>
    <x:tableColumn id="23" name="方法文件"/>
    <x:tableColumn id="24" name="动态排序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Ledger" displayName="SourceLedger" ref="A3:E103" headerRowCount="1" totalsRowCount="0" totalsRowShown="0">
  <x:autoFilter ref="A3:E103"/>
  <x:tableColumns count="5">
    <x:tableColumn id="1" name="来源ID"/>
    <x:tableColumn id="2" name="标题"/>
    <x:tableColumn id="3" name="URL"/>
    <x:tableColumn id="4" name="本报告采用事实"/>
    <x:tableColumn id="5" name="局限/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fc1b5e3a948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6fa4ffd349d47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14" hidden="0" customWidth="1"/>
    <x:col min="5" max="5" width="10" hidden="0" customWidth="1"/>
    <x:col min="6" max="6" width="14" hidden="0" customWidth="1"/>
    <x:col min="7" max="7" width="12" hidden="0" customWidth="1"/>
    <x:col min="8" max="8" width="42" hidden="0" customWidth="1"/>
  </x:cols>
  <x:sheetData>
    <x:row r="1" ht="32" customHeight="1">
      <x:c r="A1" s="4" t="str">
        <x:v>先做一个，不要同时开三条线</x:v>
      </x:c>
      <x:c r="B1" s="4" t="str">
        <x:v>先做一个，不要同时开三条线</x:v>
      </x:c>
      <x:c r="C1" s="4" t="str">
        <x:v>先做一个，不要同时开三条线</x:v>
      </x:c>
      <x:c r="D1" s="4" t="str">
        <x:v>先做一个，不要同时开三条线</x:v>
      </x:c>
      <x:c r="E1" s="4" t="str">
        <x:v>先做一个，不要同时开三条线</x:v>
      </x:c>
      <x:c r="F1" s="4" t="str">
        <x:v>先做一个，不要同时开三条线</x:v>
      </x:c>
      <x:c r="G1" s="4" t="str">
        <x:v>先做一个，不要同时开三条线</x:v>
      </x:c>
      <x:c r="H1" s="4" t="str">
        <x:v>先做一个，不要同时开三条线</x:v>
      </x:c>
    </x:row>
    <x:row r="2" ht="32" customHeight="1">
      <x:c r="A2" s="4" t="str">
        <x:v>先做一个，不要同时开三条线</x:v>
      </x:c>
      <x:c r="B2" s="4" t="str">
        <x:v>先做一个，不要同时开三条线</x:v>
      </x:c>
      <x:c r="C2" s="4" t="str">
        <x:v>先做一个，不要同时开三条线</x:v>
      </x:c>
      <x:c r="D2" s="4" t="str">
        <x:v>先做一个，不要同时开三条线</x:v>
      </x:c>
      <x:c r="E2" s="4" t="str">
        <x:v>先做一个，不要同时开三条线</x:v>
      </x:c>
      <x:c r="F2" s="4" t="str">
        <x:v>先做一个，不要同时开三条线</x:v>
      </x:c>
      <x:c r="G2" s="4" t="str">
        <x:v>先做一个，不要同时开三条线</x:v>
      </x:c>
      <x:c r="H2" s="4" t="str">
        <x:v>先做一个，不要同时开三条线</x:v>
      </x:c>
    </x:row>
    <x:row r="3">
      <x:c r="A3" s="72" t="str">
        <x:v>优先级依据：结果可测、低成本、30 天付费、合法渠道、可回滚。前三并非收益保证，仍以首个付费试点为裁决。</x:v>
      </x:c>
      <x:c r="B3" s="72" t="str">
        <x:v>优先级依据：结果可测、低成本、30 天付费、合法渠道、可回滚。前三并非收益保证，仍以首个付费试点为裁决。</x:v>
      </x:c>
      <x:c r="C3" s="72" t="str">
        <x:v>优先级依据：结果可测、低成本、30 天付费、合法渠道、可回滚。前三并非收益保证，仍以首个付费试点为裁决。</x:v>
      </x:c>
      <x:c r="D3" s="72" t="str">
        <x:v>优先级依据：结果可测、低成本、30 天付费、合法渠道、可回滚。前三并非收益保证，仍以首个付费试点为裁决。</x:v>
      </x:c>
      <x:c r="E3" s="72" t="str">
        <x:v>优先级依据：结果可测、低成本、30 天付费、合法渠道、可回滚。前三并非收益保证，仍以首个付费试点为裁决。</x:v>
      </x:c>
      <x:c r="F3" s="72" t="str">
        <x:v>优先级依据：结果可测、低成本、30 天付费、合法渠道、可回滚。前三并非收益保证，仍以首个付费试点为裁决。</x:v>
      </x:c>
      <x:c r="G3" s="72" t="str">
        <x:v>优先级依据：结果可测、低成本、30 天付费、合法渠道、可回滚。前三并非收益保证，仍以首个付费试点为裁决。</x:v>
      </x:c>
      <x:c r="H3" s="72" t="str">
        <x:v>优先级依据：结果可测、低成本、30 天付费、合法渠道、可回滚。前三并非收益保证，仍以首个付费试点为裁决。</x:v>
      </x:c>
    </x:row>
    <x:row r="5">
      <x:c r="A5" s="120" t="str">
        <x:v>项目总数</x:v>
      </x:c>
      <x:c r="B5" s="120" t="str">
        <x:v>项目总数</x:v>
      </x:c>
      <x:c r="C5" s="120" t="str">
        <x:v>14 天内可验证</x:v>
      </x:c>
      <x:c r="D5" s="120" t="str">
        <x:v>14 天内可验证</x:v>
      </x:c>
      <x:c r="E5" s="120" t="str">
        <x:v>中性月营收中位数</x:v>
      </x:c>
      <x:c r="F5" s="120" t="str">
        <x:v>中性月营收中位数</x:v>
      </x:c>
      <x:c r="G5" s="120" t="str">
        <x:v>启动成本上限中位数</x:v>
      </x:c>
      <x:c r="H5" s="120" t="str">
        <x:v>启动成本上限中位数</x:v>
      </x:c>
    </x:row>
    <x:row r="6">
      <x:c r="A6" s="135" t="n">
        <x:f>COUNTA('50项目对比'!$B$5:$B$54)</x:f>
        <x:v>50</x:v>
      </x:c>
      <x:c r="B6" s="136"/>
      <x:c r="C6" s="135" t="n">
        <x:f>COUNTIF('50项目对比'!$G$5:$G$54,"&lt;=14")</x:f>
        <x:v>47</x:v>
      </x:c>
      <x:c r="D6" s="136"/>
      <x:c r="E6" s="147" t="n">
        <x:f>MEDIAN('50项目对比'!$I$5:$I$54)</x:f>
        <x:v>12000</x:v>
      </x:c>
      <x:c r="F6" s="148"/>
      <x:c r="G6" s="147" t="n">
        <x:f>MEDIAN('50项目对比'!$E$5:$E$54)</x:f>
        <x:v>300</x:v>
      </x:c>
      <x:c r="H6" s="148"/>
    </x:row>
    <x:row r="7">
      <x:c r="A7" s="137"/>
      <x:c r="B7" s="138"/>
      <x:c r="C7" s="137"/>
      <x:c r="D7" s="138"/>
      <x:c r="E7" s="149"/>
      <x:c r="F7" s="150"/>
      <x:c r="G7" s="149"/>
      <x:c r="H7" s="150"/>
    </x:row>
    <x:row r="9">
      <x:c r="A9" s="151" t="str">
        <x:v>建议首做三项</x:v>
      </x:c>
      <x:c r="B9" s="151" t="str">
        <x:v>建议首做三项</x:v>
      </x:c>
      <x:c r="C9" s="151" t="str">
        <x:v>建议首做三项</x:v>
      </x:c>
      <x:c r="D9" s="151" t="str">
        <x:v>建议首做三项</x:v>
      </x:c>
      <x:c r="E9" s="151" t="str">
        <x:v>建议首做三项</x:v>
      </x:c>
      <x:c r="F9" s="151" t="str">
        <x:v>建议首做三项</x:v>
      </x:c>
      <x:c r="G9" s="151" t="str">
        <x:v>建议首做三项</x:v>
      </x:c>
      <x:c r="H9" s="151" t="str">
        <x:v>建议首做三项</x:v>
      </x:c>
    </x:row>
    <x:row r="10" ht="30" customHeight="1">
      <x:c r="A10" s="16" t="str">
        <x:v>顺序</x:v>
      </x:c>
      <x:c r="B10" s="17" t="str">
        <x:v>方法</x:v>
      </x:c>
      <x:c r="C10" s="17" t="str">
        <x:v>为什么稳</x:v>
      </x:c>
      <x:c r="D10" s="17" t="str">
        <x:v>成本上限</x:v>
      </x:c>
      <x:c r="E10" s="17" t="str">
        <x:v>验证天</x:v>
      </x:c>
      <x:c r="F10" s="17" t="str">
        <x:v>中性/月</x:v>
      </x:c>
      <x:c r="G10" s="17" t="str">
        <x:v>综合分</x:v>
      </x:c>
      <x:c r="H10" s="18" t="str">
        <x:v>文件</x:v>
      </x:c>
    </x:row>
    <x:row r="11" ht="48" customHeight="1">
      <x:c r="A11" s="157" t="n">
        <x:v>1</x:v>
      </x:c>
      <x:c r="B11" s="48" t="str">
        <x:v>Merchant Center Feed 诊断与免费列表修复</x:v>
      </x:c>
      <x:c r="C11" s="48" t="str">
        <x:v>官方 Diagnostics 直接给出错误；修复是否通过可验收，不依赖流量承诺</x:v>
      </x:c>
      <x:c r="D11" s="95" t="n">
        <x:v>150</x:v>
      </x:c>
      <x:c r="E11" s="96" t="n">
        <x:v>10</x:v>
      </x:c>
      <x:c r="F11" s="95" t="n">
        <x:v>15000</x:v>
      </x:c>
      <x:c r="G11" s="97" t="n">
        <x:f>'50项目对比'!R5</x:f>
        <x:v>4.7</x:v>
      </x:c>
      <x:c r="H11" s="49" t="str">
        <x:v>methods/20-merchant-feed-repair.md</x:v>
      </x:c>
    </x:row>
    <x:row r="12" ht="48" customHeight="1">
      <x:c r="A12" s="158" t="n">
        <x:v>2</x:v>
      </x:c>
      <x:c r="B12" s="52" t="str">
        <x:v>HubSpot 入站线索分级与人工路由试点</x:v>
      </x:c>
      <x:c r="C12" s="52" t="str">
        <x:v>AI integration 需求上升；首响与路由可用历史线索回放，设置费+监控费</x:v>
      </x:c>
      <x:c r="D12" s="98" t="n">
        <x:v>300</x:v>
      </x:c>
      <x:c r="E12" s="99" t="n">
        <x:v>7</x:v>
      </x:c>
      <x:c r="F12" s="98" t="n">
        <x:v>13800</x:v>
      </x:c>
      <x:c r="G12" s="100" t="n">
        <x:f>'50项目对比'!R6</x:f>
        <x:v>4.6</x:v>
      </x:c>
      <x:c r="H12" s="53" t="str">
        <x:v>methods/01-ai-lead-routing.md</x:v>
      </x:c>
    </x:row>
    <x:row r="13" ht="48" customHeight="1">
      <x:c r="A13" s="159" t="n">
        <x:v>3</x:v>
      </x:c>
      <x:c r="B13" s="56" t="str">
        <x:v>GA4 电商事件与 Looker 漏斗仪表盘</x:v>
      </x:c>
      <x:c r="C13" s="56" t="str">
        <x:v>测试订单可对账事件、币种和去重；结果是技术正确性而非模糊营销归因</x:v>
      </x:c>
      <x:c r="D13" s="101" t="n">
        <x:v>150</x:v>
      </x:c>
      <x:c r="E13" s="102" t="n">
        <x:v>10</x:v>
      </x:c>
      <x:c r="F13" s="101" t="n">
        <x:v>18000</x:v>
      </x:c>
      <x:c r="G13" s="103" t="n">
        <x:f>'50项目对比'!R7</x:f>
        <x:v>4.7</x:v>
      </x:c>
      <x:c r="H13" s="57" t="str">
        <x:v>methods/22-ga4-ecommerce-funnel.md</x:v>
      </x:c>
    </x:row>
    <x:row r="15">
      <x:c r="A15" s="151" t="str">
        <x:v>执行规则</x:v>
      </x:c>
      <x:c r="B15" s="151" t="str">
        <x:v>执行规则</x:v>
      </x:c>
      <x:c r="C15" s="151" t="str">
        <x:v>执行规则</x:v>
      </x:c>
      <x:c r="D15" s="151" t="str">
        <x:v>执行规则</x:v>
      </x:c>
      <x:c r="E15" s="151" t="str">
        <x:v>执行规则</x:v>
      </x:c>
      <x:c r="F15" s="151" t="str">
        <x:v>执行规则</x:v>
      </x:c>
      <x:c r="G15" s="151" t="str">
        <x:v>执行规则</x:v>
      </x:c>
      <x:c r="H15" s="151" t="str">
        <x:v>执行规则</x:v>
      </x:c>
    </x:row>
    <x:row r="16" ht="28" customHeight="1">
      <x:c r="A16" s="179" t="str">
        <x:v>1. 只选一个方法；通常 Day 20 前拿到已注资里程碑、平台净订单或已入账合法账单。方法48例外：Day20终稿/预售、Day27发行、Day30以至少5个不重复净付费购买裁决。</x:v>
      </x:c>
      <x:c r="B16" s="180"/>
      <x:c r="C16" s="180"/>
      <x:c r="D16" s="180"/>
      <x:c r="E16" s="180"/>
      <x:c r="F16" s="180"/>
      <x:c r="G16" s="180"/>
      <x:c r="H16" s="181"/>
    </x:row>
    <x:row r="17" ht="28" customHeight="1">
      <x:c r="A17" s="182" t="str">
        <x:v>2. 先验证 KYC、收款、权限和数据许可；任何失败都不靠虚假地区、抓取或群发解决。</x:v>
      </x:c>
      <x:c r="B17" s="183"/>
      <x:c r="C17" s="183"/>
      <x:c r="D17" s="183"/>
      <x:c r="E17" s="183"/>
      <x:c r="F17" s="183"/>
      <x:c r="G17" s="183"/>
      <x:c r="H17" s="184"/>
    </x:row>
    <x:row r="18" ht="28" customHeight="1">
      <x:c r="A18" s="182" t="str">
        <x:v>3. 所有收益是模型；用实际订单、工时、工具费、平台费、退款替换后再扩大。</x:v>
      </x:c>
      <x:c r="B18" s="183"/>
      <x:c r="C18" s="183"/>
      <x:c r="D18" s="183"/>
      <x:c r="E18" s="183"/>
      <x:c r="F18" s="183"/>
      <x:c r="G18" s="183"/>
      <x:c r="H18" s="184"/>
    </x:row>
    <x:row r="19" ht="28" customHeight="1">
      <x:c r="A19" s="182" t="str">
        <x:v>4. 支付、退款、删除、改价、公开回复、法律/医疗/金融判断始终保留人工批准。</x:v>
      </x:c>
      <x:c r="B19" s="183"/>
      <x:c r="C19" s="183"/>
      <x:c r="D19" s="183"/>
      <x:c r="E19" s="183"/>
      <x:c r="F19" s="183"/>
      <x:c r="G19" s="183"/>
      <x:c r="H19" s="184"/>
    </x:row>
    <x:row r="20" ht="28" customHeight="1">
      <x:c r="A20" s="185" t="str">
        <x:v>5. 30 天无付费、许可不清或贡献毛利低于 60%，缩窄、换细分或停止。</x:v>
      </x:c>
      <x:c r="B20" s="186"/>
      <x:c r="C20" s="186"/>
      <x:c r="D20" s="186"/>
      <x:c r="E20" s="186"/>
      <x:c r="F20" s="186"/>
      <x:c r="G20" s="186"/>
      <x:c r="H20" s="187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" hidden="0" customWidth="1"/>
    <x:col min="3" max="3" width="30" hidden="0" customWidth="1"/>
    <x:col min="4" max="4" width="16" hidden="0" customWidth="1"/>
    <x:col min="5" max="5" width="14" hidden="0" customWidth="1"/>
    <x:col min="6" max="6" width="8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0" hidden="0" customWidth="1"/>
    <x:col min="18" max="18" width="10" hidden="0" customWidth="1"/>
    <x:col min="19" max="19" width="36" hidden="0" customWidth="1"/>
    <x:col min="20" max="20" width="48" hidden="0" customWidth="1"/>
    <x:col min="21" max="21" width="34" hidden="0" customWidth="1"/>
    <x:col min="22" max="22" width="52" hidden="0" customWidth="1"/>
    <x:col min="23" max="23" width="44" hidden="0" customWidth="1"/>
    <x:col min="24" max="24" width="13" hidden="0" customWidth="1"/>
  </x:cols>
  <x:sheetData>
    <x:row r="1" ht="32" customHeight="1">
      <x:c r="A1" s="4" t="str">
        <x:v>50 个当前可执行赚钱项目｜统一对比</x:v>
      </x:c>
      <x:c r="B1" s="4" t="str">
        <x:v>50 个当前可执行赚钱项目｜统一对比</x:v>
      </x:c>
      <x:c r="C1" s="4" t="str">
        <x:v>50 个当前可执行赚钱项目｜统一对比</x:v>
      </x:c>
      <x:c r="D1" s="4" t="str">
        <x:v>50 个当前可执行赚钱项目｜统一对比</x:v>
      </x:c>
      <x:c r="E1" s="4" t="str">
        <x:v>50 个当前可执行赚钱项目｜统一对比</x:v>
      </x:c>
      <x:c r="F1" s="4" t="str">
        <x:v>50 个当前可执行赚钱项目｜统一对比</x:v>
      </x:c>
      <x:c r="G1" s="4" t="str">
        <x:v>50 个当前可执行赚钱项目｜统一对比</x:v>
      </x:c>
      <x:c r="H1" s="4" t="str">
        <x:v>50 个当前可执行赚钱项目｜统一对比</x:v>
      </x:c>
      <x:c r="I1" s="4" t="str">
        <x:v>50 个当前可执行赚钱项目｜统一对比</x:v>
      </x:c>
      <x:c r="J1" s="4" t="str">
        <x:v>50 个当前可执行赚钱项目｜统一对比</x:v>
      </x:c>
      <x:c r="K1" s="4" t="str">
        <x:v>50 个当前可执行赚钱项目｜统一对比</x:v>
      </x:c>
      <x:c r="L1" s="4" t="str">
        <x:v>50 个当前可执行赚钱项目｜统一对比</x:v>
      </x:c>
      <x:c r="M1" s="4" t="str">
        <x:v>50 个当前可执行赚钱项目｜统一对比</x:v>
      </x:c>
      <x:c r="N1" s="4" t="str">
        <x:v>50 个当前可执行赚钱项目｜统一对比</x:v>
      </x:c>
      <x:c r="O1" s="4" t="str">
        <x:v>50 个当前可执行赚钱项目｜统一对比</x:v>
      </x:c>
      <x:c r="P1" s="4" t="str">
        <x:v>50 个当前可执行赚钱项目｜统一对比</x:v>
      </x:c>
      <x:c r="Q1" s="4" t="str">
        <x:v>50 个当前可执行赚钱项目｜统一对比</x:v>
      </x:c>
      <x:c r="R1" s="4" t="str">
        <x:v>50 个当前可执行赚钱项目｜统一对比</x:v>
      </x:c>
      <x:c r="S1" s="4" t="str">
        <x:v>50 个当前可执行赚钱项目｜统一对比</x:v>
      </x:c>
      <x:c r="T1" s="4" t="str">
        <x:v>50 个当前可执行赚钱项目｜统一对比</x:v>
      </x:c>
      <x:c r="U1" s="4" t="str">
        <x:v>50 个当前可执行赚钱项目｜统一对比</x:v>
      </x:c>
      <x:c r="V1" s="4" t="str">
        <x:v>50 个当前可执行赚钱项目｜统一对比</x:v>
      </x:c>
      <x:c r="W1" s="4" t="str">
        <x:v>50 个当前可执行赚钱项目｜统一对比</x:v>
      </x:c>
      <x:c r="X1" s="4" t="str">
        <x:v>50 个当前可执行赚钱项目｜统一对比</x:v>
      </x:c>
    </x:row>
    <x:row r="2">
      <x:c r="A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B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C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D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E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F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G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H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I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J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K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L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M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N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O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P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Q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R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S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T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U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V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W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  <x:c r="X2" s="73" t="str">
        <x:v>快照：2026-09-01｜前三行锁定人工首做顺序 20→01→22，其余为默认权重下的初始降序。改权重后点击“动态排序键”筛选箭头 &gt; 从小到大排序：前三不动，其余按新综合分降序、ID 升序。收益不是保证。</x:v>
      </x:c>
    </x:row>
    <x:row r="4" ht="30" customHeight="1">
      <x:c r="A4" s="16" t="str">
        <x:v>动态优先级</x:v>
      </x:c>
      <x:c r="B4" s="17" t="str">
        <x:v>ID</x:v>
      </x:c>
      <x:c r="C4" s="17" t="str">
        <x:v>方法</x:v>
      </x:c>
      <x:c r="D4" s="17" t="str">
        <x:v>类别</x:v>
      </x:c>
      <x:c r="E4" s="17" t="str">
        <x:v>启动成本上限</x:v>
      </x:c>
      <x:c r="F4" s="17" t="str">
        <x:v>难度</x:v>
      </x:c>
      <x:c r="G4" s="17" t="str">
        <x:v>验证天数</x:v>
      </x:c>
      <x:c r="H4" s="17" t="str">
        <x:v>保守月营收</x:v>
      </x:c>
      <x:c r="I4" s="17" t="str">
        <x:v>中性月营收</x:v>
      </x:c>
      <x:c r="J4" s="17" t="str">
        <x:v>乐观月营收</x:v>
      </x:c>
      <x:c r="K4" s="17" t="str">
        <x:v>需求</x:v>
      </x:c>
      <x:c r="L4" s="17" t="str">
        <x:v>速度</x:v>
      </x:c>
      <x:c r="M4" s="17" t="str">
        <x:v>低成本</x:v>
      </x:c>
      <x:c r="N4" s="17" t="str">
        <x:v>复购</x:v>
      </x:c>
      <x:c r="O4" s="17" t="str">
        <x:v>自动化</x:v>
      </x:c>
      <x:c r="P4" s="17" t="str">
        <x:v>获客</x:v>
      </x:c>
      <x:c r="Q4" s="17" t="str">
        <x:v>风险可控</x:v>
      </x:c>
      <x:c r="R4" s="17" t="str">
        <x:v>综合分</x:v>
      </x:c>
      <x:c r="S4" s="17" t="str">
        <x:v>成本口径 / 参考测试报价</x:v>
      </x:c>
      <x:c r="T4" s="17" t="str">
        <x:v>最小付费验证</x:v>
      </x:c>
      <x:c r="U4" s="17" t="str">
        <x:v>主要风险</x:v>
      </x:c>
      <x:c r="V4" s="17" t="str">
        <x:v>首要来源URL</x:v>
      </x:c>
      <x:c r="W4" s="17" t="str">
        <x:v>方法文件</x:v>
      </x:c>
      <x:c r="X4" s="18" t="str">
        <x:v>动态排序键</x:v>
      </x:c>
    </x:row>
    <x:row r="5" ht="56" customHeight="1">
      <x:c r="A5" s="46" t="str">
        <x:f>IF(B5=20,"首做",IF(B5=1,"首做",IF(B5=22,"首做",IF(R5&gt;=4.55,"P"&amp;1,IF(R5&gt;=4.10,"P"&amp;2,"P"&amp;3)))))</x:f>
        <x:v>首做</x:v>
      </x:c>
      <x:c r="B5" s="104" t="n">
        <x:v>20</x:v>
      </x:c>
      <x:c r="C5" s="48" t="str">
        <x:v>Merchant Center Feed 诊断与免费列表修复</x:v>
      </x:c>
      <x:c r="D5" s="48" t="str">
        <x:v>电商增长</x:v>
      </x:c>
      <x:c r="E5" s="107" t="n">
        <x:v>150</x:v>
      </x:c>
      <x:c r="F5" s="108" t="n">
        <x:v>1</x:v>
      </x:c>
      <x:c r="G5" s="108" t="n">
        <x:v>10</x:v>
      </x:c>
      <x:c r="H5" s="107" t="n">
        <x:v>3500</x:v>
      </x:c>
      <x:c r="I5" s="107" t="n">
        <x:v>15000</x:v>
      </x:c>
      <x:c r="J5" s="107" t="n">
        <x:v>41000</x:v>
      </x:c>
      <x:c r="K5" s="109" t="n">
        <x:v>5</x:v>
      </x:c>
      <x:c r="L5" s="109" t="n">
        <x:v>5</x:v>
      </x:c>
      <x:c r="M5" s="109" t="n">
        <x:v>5</x:v>
      </x:c>
      <x:c r="N5" s="109" t="n">
        <x:v>4</x:v>
      </x:c>
      <x:c r="O5" s="109" t="n">
        <x:v>4</x:v>
      </x:c>
      <x:c r="P5" s="109" t="n">
        <x:v>5</x:v>
      </x:c>
      <x:c r="Q5" s="109" t="n">
        <x:v>5</x:v>
      </x:c>
      <x:c r="R5" s="110" t="n">
        <x:f>ROUND(K5*'评分参数'!$B$4+L5*'评分参数'!$B$5+M5*'评分参数'!$B$6+N5*'评分参数'!$B$7+O5*'评分参数'!$B$8+P5*'评分参数'!$B$9+Q5*'评分参数'!$B$10,2)</x:f>
        <x:v>4.7</x:v>
      </x:c>
      <x:c r="S5" s="48" t="str">
        <x:v>启动成本：¥0–150；报价：设置 ¥3,500–9,000；监测 ¥800–2,500/月</x:v>
      </x:c>
      <x:c r="T5" s="48" t="str">
        <x:v>1 个客户为固定范围试点实际注资/支付 ¥3,500；付款只验证购买意愿，不是技术通过条件；平台审核延迟与实施工期分开</x:v>
      </x:c>
      <x:c r="U5" s="48" t="str">
        <x:v>承诺展示或销量</x:v>
      </x:c>
      <x:c r="V5" s="48" t="str">
        <x:v>https://www.census.gov/retail/ecommerce.html</x:v>
      </x:c>
      <x:c r="W5" s="48" t="str">
        <x:v>methods/20-merchant-feed-repair.md</x:v>
      </x:c>
      <x:c r="X5" s="49" t="n">
        <x:f>IF(B5=20,1,IF(B5=1,2,IF(B5=22,3,1000-R5*100+B5/1000)))</x:f>
        <x:v>1</x:v>
      </x:c>
    </x:row>
    <x:row r="6" ht="56" customHeight="1">
      <x:c r="A6" s="50" t="str">
        <x:f>IF(B6=20,"首做",IF(B6=1,"首做",IF(B6=22,"首做",IF(R6&gt;=4.55,"P"&amp;1,IF(R6&gt;=4.10,"P"&amp;2,"P"&amp;3)))))</x:f>
        <x:v>首做</x:v>
      </x:c>
      <x:c r="B6" s="105" t="n">
        <x:v>1</x:v>
      </x:c>
      <x:c r="C6" s="52" t="str">
        <x:v>HubSpot 入站线索分级与人工路由试点</x:v>
      </x:c>
      <x:c r="D6" s="52" t="str">
        <x:v>AI与业务自动化</x:v>
      </x:c>
      <x:c r="E6" s="111" t="n">
        <x:v>300</x:v>
      </x:c>
      <x:c r="F6" s="112" t="n">
        <x:v>1</x:v>
      </x:c>
      <x:c r="G6" s="112" t="n">
        <x:v>7</x:v>
      </x:c>
      <x:c r="H6" s="111" t="n">
        <x:v>2500</x:v>
      </x:c>
      <x:c r="I6" s="111" t="n">
        <x:v>13800</x:v>
      </x:c>
      <x:c r="J6" s="111" t="n">
        <x:v>39000</x:v>
      </x:c>
      <x:c r="K6" s="113" t="n">
        <x:v>5</x:v>
      </x:c>
      <x:c r="L6" s="113" t="n">
        <x:v>5</x:v>
      </x:c>
      <x:c r="M6" s="113" t="n">
        <x:v>5</x:v>
      </x:c>
      <x:c r="N6" s="113" t="n">
        <x:v>4</x:v>
      </x:c>
      <x:c r="O6" s="113" t="n">
        <x:v>5</x:v>
      </x:c>
      <x:c r="P6" s="113" t="n">
        <x:v>4</x:v>
      </x:c>
      <x:c r="Q6" s="113" t="n">
        <x:v>4</x:v>
      </x:c>
      <x:c r="R6" s="114" t="n">
        <x:f>ROUND(K6*'评分参数'!$B$4+L6*'评分参数'!$B$5+M6*'评分参数'!$B$6+N6*'评分参数'!$B$7+O6*'评分参数'!$B$8+P6*'评分参数'!$B$9+Q6*'评分参数'!$B$10,2)</x:f>
        <x:v>4.6</x:v>
      </x:c>
      <x:c r="S6" s="52" t="str">
        <x:v>启动成本：¥0–300；报价：试点 ¥2,500–6,500；正式设置 ¥4,000–9,000；监控 ¥800–2,500/月</x:v>
      </x:c>
      <x:c r="T6" s="52" t="str">
        <x:v>1 个客户为固定范围试点注资/支付 ¥2,500；付款只验证购买意愿，不是技术通过条件</x:v>
      </x:c>
      <x:c r="U6" s="52" t="str">
        <x:v>AI 错分高价值线索</x:v>
      </x:c>
      <x:c r="V6" s="52" t="str">
        <x:v>https://advocacy.sba.gov/wp-content/uploads/2026/02/FINAL_FAQsAboutSmallBusiness_2026_012826.pdf</x:v>
      </x:c>
      <x:c r="W6" s="52" t="str">
        <x:v>methods/01-ai-lead-routing.md</x:v>
      </x:c>
      <x:c r="X6" s="53" t="n">
        <x:f>IF(B6=20,1,IF(B6=1,2,IF(B6=22,3,1000-R6*100+B6/1000)))</x:f>
        <x:v>2</x:v>
      </x:c>
    </x:row>
    <x:row r="7" ht="56" customHeight="1">
      <x:c r="A7" s="50" t="str">
        <x:f>IF(B7=20,"首做",IF(B7=1,"首做",IF(B7=22,"首做",IF(R7&gt;=4.55,"P"&amp;1,IF(R7&gt;=4.10,"P"&amp;2,"P"&amp;3)))))</x:f>
        <x:v>首做</x:v>
      </x:c>
      <x:c r="B7" s="105" t="n">
        <x:v>22</x:v>
      </x:c>
      <x:c r="C7" s="52" t="str">
        <x:v>GA4 电商事件与 Looker 漏斗仪表盘</x:v>
      </x:c>
      <x:c r="D7" s="52" t="str">
        <x:v>电商增长</x:v>
      </x:c>
      <x:c r="E7" s="111" t="n">
        <x:v>150</x:v>
      </x:c>
      <x:c r="F7" s="112" t="n">
        <x:v>1</x:v>
      </x:c>
      <x:c r="G7" s="112" t="n">
        <x:v>10</x:v>
      </x:c>
      <x:c r="H7" s="111" t="n">
        <x:v>5000</x:v>
      </x:c>
      <x:c r="I7" s="111" t="n">
        <x:v>18000</x:v>
      </x:c>
      <x:c r="J7" s="111" t="n">
        <x:v>49000</x:v>
      </x:c>
      <x:c r="K7" s="113" t="n">
        <x:v>5</x:v>
      </x:c>
      <x:c r="L7" s="113" t="n">
        <x:v>4</x:v>
      </x:c>
      <x:c r="M7" s="113" t="n">
        <x:v>5</x:v>
      </x:c>
      <x:c r="N7" s="113" t="n">
        <x:v>4</x:v>
      </x:c>
      <x:c r="O7" s="113" t="n">
        <x:v>5</x:v>
      </x:c>
      <x:c r="P7" s="113" t="n">
        <x:v>5</x:v>
      </x:c>
      <x:c r="Q7" s="113" t="n">
        <x:v>5</x:v>
      </x:c>
      <x:c r="R7" s="114" t="n">
        <x:f>ROUND(K7*'评分参数'!$B$4+L7*'评分参数'!$B$5+M7*'评分参数'!$B$6+N7*'评分参数'!$B$7+O7*'评分参数'!$B$8+P7*'评分参数'!$B$9+Q7*'评分参数'!$B$10,2)</x:f>
        <x:v>4.7</x:v>
      </x:c>
      <x:c r="S7" s="52" t="str">
        <x:v>启动成本：¥0–150；报价：设置 ¥5,000–15,000；维护 ¥800–2,500/月</x:v>
      </x:c>
      <x:c r="T7" s="52" t="str">
        <x:v>1 个客户为五事件固定范围试点注资/支付 ¥5,000</x:v>
      </x:c>
      <x:c r="U7" s="52" t="str">
        <x:v>数据重复或金额错</x:v>
      </x:c>
      <x:c r="V7" s="52" t="str">
        <x:v>https://www.census.gov/retail/ecommerce.html</x:v>
      </x:c>
      <x:c r="W7" s="52" t="str">
        <x:v>methods/22-ga4-ecommerce-funnel.md</x:v>
      </x:c>
      <x:c r="X7" s="53" t="n">
        <x:f>IF(B7=20,1,IF(B7=1,2,IF(B7=22,3,1000-R7*100+B7/1000)))</x:f>
        <x:v>3</x:v>
      </x:c>
    </x:row>
    <x:row r="8" ht="56" customHeight="1">
      <x:c r="A8" s="50" t="str">
        <x:f>IF(B8=20,"首做",IF(B8=1,"首做",IF(B8=22,"首做",IF(R8&gt;=4.55,"P"&amp;1,IF(R8&gt;=4.10,"P"&amp;2,"P"&amp;3)))))</x:f>
        <x:v>P1</x:v>
      </x:c>
      <x:c r="B8" s="105" t="n">
        <x:v>43</x:v>
      </x:c>
      <x:c r="C8" s="52" t="str">
        <x:v>竞品价格与条款变化监控</x:v>
      </x:c>
      <x:c r="D8" s="52" t="str">
        <x:v>市场情报</x:v>
      </x:c>
      <x:c r="E8" s="111" t="n">
        <x:v>1000</x:v>
      </x:c>
      <x:c r="F8" s="112" t="n">
        <x:v>1</x:v>
      </x:c>
      <x:c r="G8" s="112" t="n">
        <x:v>7</x:v>
      </x:c>
      <x:c r="H8" s="111" t="n">
        <x:v>999</x:v>
      </x:c>
      <x:c r="I8" s="111" t="n">
        <x:v>8990</x:v>
      </x:c>
      <x:c r="J8" s="111" t="n">
        <x:v>30000</x:v>
      </x:c>
      <x:c r="K8" s="113" t="n">
        <x:v>5</x:v>
      </x:c>
      <x:c r="L8" s="113" t="n">
        <x:v>5</x:v>
      </x:c>
      <x:c r="M8" s="113" t="n">
        <x:v>5</x:v>
      </x:c>
      <x:c r="N8" s="113" t="n">
        <x:v>5</x:v>
      </x:c>
      <x:c r="O8" s="113" t="n">
        <x:v>5</x:v>
      </x:c>
      <x:c r="P8" s="113" t="n">
        <x:v>5</x:v>
      </x:c>
      <x:c r="Q8" s="113" t="n">
        <x:v>4</x:v>
      </x:c>
      <x:c r="R8" s="114" t="n">
        <x:f>ROUND(K8*'评分参数'!$B$4+L8*'评分参数'!$B$5+M8*'评分参数'!$B$6+N8*'评分参数'!$B$7+O8*'评分参数'!$B$8+P8*'评分参数'!$B$9+Q8*'评分参数'!$B$10,2)</x:f>
        <x:v>4.9</x:v>
      </x:c>
      <x:c r="S8" s="52" t="str">
        <x:v>启动成本：¥0–1,000；报价：¥699–3,999/月，按页面数和频率</x:v>
      </x:c>
      <x:c r="T8" s="52" t="str">
        <x:v>用 5 页免费层跑 14 天；交 1 份有真实变化或无变化基线的报告，1 客户预付 ¥999/月</x:v>
      </x:c>
      <x:c r="U8" s="52" t="str">
        <x:v>违反目标站或 Visualping 条款</x:v>
      </x:c>
      <x:c r="V8" s="52" t="str">
        <x:v>https://visualping.io/pricing</x:v>
      </x:c>
      <x:c r="W8" s="52" t="str">
        <x:v>methods/43-competitor-change-monitor.md</x:v>
      </x:c>
      <x:c r="X8" s="53" t="n">
        <x:f>IF(B8=20,1,IF(B8=1,2,IF(B8=22,3,1000-R8*100+B8/1000)))</x:f>
        <x:v>510.04299999999995</x:v>
      </x:c>
    </x:row>
    <x:row r="9" ht="56" customHeight="1">
      <x:c r="A9" s="50" t="str">
        <x:f>IF(B9=20,"首做",IF(B9=1,"首做",IF(B9=22,"首做",IF(R9&gt;=4.55,"P"&amp;1,IF(R9&gt;=4.10,"P"&amp;2,"P"&amp;3)))))</x:f>
        <x:v>P1</x:v>
      </x:c>
      <x:c r="B9" s="105" t="n">
        <x:v>15</x:v>
      </x:c>
      <x:c r="C9" s="52" t="str">
        <x:v>合规的真实评论请求工作流</x:v>
      </x:c>
      <x:c r="D9" s="52" t="str">
        <x:v>本地商业增长</x:v>
      </x:c>
      <x:c r="E9" s="111" t="n">
        <x:v>150</x:v>
      </x:c>
      <x:c r="F9" s="112" t="n">
        <x:v>1</x:v>
      </x:c>
      <x:c r="G9" s="112" t="n">
        <x:v>7</x:v>
      </x:c>
      <x:c r="H9" s="111" t="n">
        <x:v>1500</x:v>
      </x:c>
      <x:c r="I9" s="111" t="n">
        <x:v>7500</x:v>
      </x:c>
      <x:c r="J9" s="111" t="n">
        <x:v>21000</x:v>
      </x:c>
      <x:c r="K9" s="113" t="n">
        <x:v>5</x:v>
      </x:c>
      <x:c r="L9" s="113" t="n">
        <x:v>5</x:v>
      </x:c>
      <x:c r="M9" s="113" t="n">
        <x:v>5</x:v>
      </x:c>
      <x:c r="N9" s="113" t="n">
        <x:v>5</x:v>
      </x:c>
      <x:c r="O9" s="113" t="n">
        <x:v>4</x:v>
      </x:c>
      <x:c r="P9" s="113" t="n">
        <x:v>5</x:v>
      </x:c>
      <x:c r="Q9" s="113" t="n">
        <x:v>5</x:v>
      </x:c>
      <x:c r="R9" s="114" t="n">
        <x:f>ROUND(K9*'评分参数'!$B$4+L9*'评分参数'!$B$5+M9*'评分参数'!$B$6+N9*'评分参数'!$B$7+O9*'评分参数'!$B$8+P9*'评分参数'!$B$9+Q9*'评分参数'!$B$10,2)</x:f>
        <x:v>4.85</x:v>
      </x:c>
      <x:c r="S9" s="52" t="str">
        <x:v>启动成本：¥0–150；报价：设置 ¥1,500–4,000；维护 ¥400–1,200/月/地点</x:v>
      </x:c>
      <x:c r="T9" s="52" t="str">
        <x:v>1 个客户为 50 位已有完成客户的评论请求试点实际注资/支付 ¥1,500；付款只验证购买意愿，不是技术通过条件</x:v>
      </x:c>
      <x:c r="U9" s="52" t="str">
        <x:v>演变为好评筛选或奖励</x:v>
      </x:c>
      <x:c r="V9" s="52" t="str">
        <x:v>https://advocacy.sba.gov/wp-content/uploads/2026/02/FINAL_FAQsAboutSmallBusiness_2026_012826.pdf</x:v>
      </x:c>
      <x:c r="W9" s="52" t="str">
        <x:v>methods/15-review-request-workflow.md</x:v>
      </x:c>
      <x:c r="X9" s="53" t="n">
        <x:f>IF(B9=20,1,IF(B9=1,2,IF(B9=22,3,1000-R9*100+B9/1000)))</x:f>
        <x:v>515.015</x:v>
      </x:c>
    </x:row>
    <x:row r="10" ht="56" customHeight="1">
      <x:c r="A10" s="50" t="str">
        <x:f>IF(B10=20,"首做",IF(B10=1,"首做",IF(B10=22,"首做",IF(R10&gt;=4.55,"P"&amp;1,IF(R10&gt;=4.10,"P"&amp;2,"P"&amp;3)))))</x:f>
        <x:v>P1</x:v>
      </x:c>
      <x:c r="B10" s="105" t="n">
        <x:v>28</x:v>
      </x:c>
      <x:c r="C10" s="52" t="str">
        <x:v>SPF/DKIM/DMARC 邮件送达基础配置</x:v>
      </x:c>
      <x:c r="D10" s="52" t="str">
        <x:v>网站技术服务</x:v>
      </x:c>
      <x:c r="E10" s="111" t="n">
        <x:v>200</x:v>
      </x:c>
      <x:c r="F10" s="112" t="n">
        <x:v>1</x:v>
      </x:c>
      <x:c r="G10" s="112" t="n">
        <x:v>14</x:v>
      </x:c>
      <x:c r="H10" s="111" t="n">
        <x:v>2500</x:v>
      </x:c>
      <x:c r="I10" s="111" t="n">
        <x:v>12000</x:v>
      </x:c>
      <x:c r="J10" s="111" t="n">
        <x:v>34000</x:v>
      </x:c>
      <x:c r="K10" s="113" t="n">
        <x:v>5</x:v>
      </x:c>
      <x:c r="L10" s="113" t="n">
        <x:v>5</x:v>
      </x:c>
      <x:c r="M10" s="113" t="n">
        <x:v>5</x:v>
      </x:c>
      <x:c r="N10" s="113" t="n">
        <x:v>5</x:v>
      </x:c>
      <x:c r="O10" s="113" t="n">
        <x:v>4</x:v>
      </x:c>
      <x:c r="P10" s="113" t="n">
        <x:v>5</x:v>
      </x:c>
      <x:c r="Q10" s="113" t="n">
        <x:v>5</x:v>
      </x:c>
      <x:c r="R10" s="114" t="n">
        <x:f>ROUND(K10*'评分参数'!$B$4+L10*'评分参数'!$B$5+M10*'评分参数'!$B$6+N10*'评分参数'!$B$7+O10*'评分参数'!$B$8+P10*'评分参数'!$B$9+Q10*'评分参数'!$B$10,2)</x:f>
        <x:v>4.85</x:v>
      </x:c>
      <x:c r="S10" s="52" t="str">
        <x:v>启动成本：¥0–200；报价：审计 ¥1,500–3,000；实施 ¥2,500–8,000；监控 ¥500–1,500/月</x:v>
      </x:c>
      <x:c r="T10" s="52" t="str">
        <x:v>1 个客户为单域名固定范围实施注资/支付 ¥2,500；付款不代替 7 天技术复核</x:v>
      </x:c>
      <x:c r="U10" s="52" t="str">
        <x:v>错误 SPF/DMARC 阻断合法邮件</x:v>
      </x:c>
      <x:c r="V10" s="52" t="str">
        <x:v>https://support.google.com/mail/answer/81126?hl=en</x:v>
      </x:c>
      <x:c r="W10" s="52" t="str">
        <x:v>methods/28-email-deliverability.md</x:v>
      </x:c>
      <x:c r="X10" s="53" t="n">
        <x:f>IF(B10=20,1,IF(B10=1,2,IF(B10=22,3,1000-R10*100+B10/1000)))</x:f>
        <x:v>515.028</x:v>
      </x:c>
    </x:row>
    <x:row r="11" ht="56" customHeight="1">
      <x:c r="A11" s="50" t="str">
        <x:f>IF(B11=20,"首做",IF(B11=1,"首做",IF(B11=22,"首做",IF(R11&gt;=4.55,"P"&amp;1,IF(R11&gt;=4.10,"P"&amp;2,"P"&amp;3)))))</x:f>
        <x:v>P1</x:v>
      </x:c>
      <x:c r="B11" s="105" t="n">
        <x:v>10</x:v>
      </x:c>
      <x:c r="C11" s="52" t="str">
        <x:v>发票提醒与失败付款恢复</x:v>
      </x:c>
      <x:c r="D11" s="52" t="str">
        <x:v>财务运营自动化</x:v>
      </x:c>
      <x:c r="E11" s="111" t="n">
        <x:v>300</x:v>
      </x:c>
      <x:c r="F11" s="112" t="n">
        <x:v>1</x:v>
      </x:c>
      <x:c r="G11" s="112" t="n">
        <x:v>7</x:v>
      </x:c>
      <x:c r="H11" s="111" t="n">
        <x:v>3500</x:v>
      </x:c>
      <x:c r="I11" s="111" t="n">
        <x:v>14000</x:v>
      </x:c>
      <x:c r="J11" s="111" t="n">
        <x:v>38000</x:v>
      </x:c>
      <x:c r="K11" s="113" t="n">
        <x:v>5</x:v>
      </x:c>
      <x:c r="L11" s="113" t="n">
        <x:v>5</x:v>
      </x:c>
      <x:c r="M11" s="113" t="n">
        <x:v>5</x:v>
      </x:c>
      <x:c r="N11" s="113" t="n">
        <x:v>5</x:v>
      </x:c>
      <x:c r="O11" s="113" t="n">
        <x:v>5</x:v>
      </x:c>
      <x:c r="P11" s="113" t="n">
        <x:v>4</x:v>
      </x:c>
      <x:c r="Q11" s="113" t="n">
        <x:v>4</x:v>
      </x:c>
      <x:c r="R11" s="114" t="n">
        <x:f>ROUND(K11*'评分参数'!$B$4+L11*'评分参数'!$B$5+M11*'评分参数'!$B$6+N11*'评分参数'!$B$7+O11*'评分参数'!$B$8+P11*'评分参数'!$B$9+Q11*'评分参数'!$B$10,2)</x:f>
        <x:v>4.75</x:v>
      </x:c>
      <x:c r="S11" s="52" t="str">
        <x:v>启动成本：¥0–300；报价：设置 ¥3,500–9,000；维护 ¥800–2,500/月；不按无上限回款抽成</x:v>
      </x:c>
      <x:c r="T11" s="52" t="str">
        <x:v>1 个客户为 sandbox 固定范围试点注资/支付 ¥3,500；生产启用与真实回款观察另签授权</x:v>
      </x:c>
      <x:c r="U11" s="52" t="str">
        <x:v>服务方触碰资金或代收</x:v>
      </x:c>
      <x:c r="V11" s="52" t="str">
        <x:v>https://stripe.com/pricing</x:v>
      </x:c>
      <x:c r="W11" s="52" t="str">
        <x:v>methods/10-invoice-recovery.md</x:v>
      </x:c>
      <x:c r="X11" s="53" t="n">
        <x:f>IF(B11=20,1,IF(B11=1,2,IF(B11=22,3,1000-R11*100+B11/1000)))</x:f>
        <x:v>525.01</x:v>
      </x:c>
    </x:row>
    <x:row r="12" ht="56" customHeight="1">
      <x:c r="A12" s="50" t="str">
        <x:f>IF(B12=20,"首做",IF(B12=1,"首做",IF(B12=22,"首做",IF(R12&gt;=4.55,"P"&amp;1,IF(R12&gt;=4.10,"P"&amp;2,"P"&amp;3)))))</x:f>
        <x:v>P1</x:v>
      </x:c>
      <x:c r="B12" s="105" t="n">
        <x:v>11</x:v>
      </x:c>
      <x:c r="C12" s="52" t="str">
        <x:v>每日/每周 KPI 管理摘要</x:v>
      </x:c>
      <x:c r="D12" s="52" t="str">
        <x:v>数据与运营服务</x:v>
      </x:c>
      <x:c r="E12" s="111" t="n">
        <x:v>300</x:v>
      </x:c>
      <x:c r="F12" s="112" t="n">
        <x:v>1</x:v>
      </x:c>
      <x:c r="G12" s="112" t="n">
        <x:v>7</x:v>
      </x:c>
      <x:c r="H12" s="111" t="n">
        <x:v>3000</x:v>
      </x:c>
      <x:c r="I12" s="111" t="n">
        <x:v>17500</x:v>
      </x:c>
      <x:c r="J12" s="111" t="n">
        <x:v>48000</x:v>
      </x:c>
      <x:c r="K12" s="113" t="n">
        <x:v>5</x:v>
      </x:c>
      <x:c r="L12" s="113" t="n">
        <x:v>5</x:v>
      </x:c>
      <x:c r="M12" s="113" t="n">
        <x:v>5</x:v>
      </x:c>
      <x:c r="N12" s="113" t="n">
        <x:v>5</x:v>
      </x:c>
      <x:c r="O12" s="113" t="n">
        <x:v>5</x:v>
      </x:c>
      <x:c r="P12" s="113" t="n">
        <x:v>4</x:v>
      </x:c>
      <x:c r="Q12" s="113" t="n">
        <x:v>4</x:v>
      </x:c>
      <x:c r="R12" s="114" t="n">
        <x:f>ROUND(K12*'评分参数'!$B$4+L12*'评分参数'!$B$5+M12*'评分参数'!$B$6+N12*'评分参数'!$B$7+O12*'评分参数'!$B$8+P12*'评分参数'!$B$9+Q12*'评分参数'!$B$10,2)</x:f>
        <x:v>4.75</x:v>
      </x:c>
      <x:c r="S12" s="52" t="str">
        <x:v>启动成本：¥0–300；报价：设置 ¥3,500–12,000；维护 ¥1,000–4,000/月</x:v>
      </x:c>
      <x:c r="T12" s="52" t="str">
        <x:v>1 个客户为 2 个数据源、5 个指标周报试点实际注资/支付 ¥3,000；付款只验证购买意愿，不是技术通过条件</x:v>
      </x:c>
      <x:c r="U12" s="52" t="str">
        <x:v>错误口径导致错误决策</x:v>
      </x:c>
      <x:c r="V12" s="52" t="str">
        <x:v>https://www.upwork.com/research/in-demand-skills-2026</x:v>
      </x:c>
      <x:c r="W12" s="52" t="str">
        <x:v>methods/11-kpi-digest.md</x:v>
      </x:c>
      <x:c r="X12" s="53" t="n">
        <x:f>IF(B12=20,1,IF(B12=1,2,IF(B12=22,3,1000-R12*100+B12/1000)))</x:f>
        <x:v>525.011</x:v>
      </x:c>
    </x:row>
    <x:row r="13" ht="56" customHeight="1">
      <x:c r="A13" s="50" t="str">
        <x:f>IF(B13=20,"首做",IF(B13=1,"首做",IF(B13=22,"首做",IF(R13&gt;=4.55,"P"&amp;1,IF(R13&gt;=4.10,"P"&amp;2,"P"&amp;3)))))</x:f>
        <x:v>P1</x:v>
      </x:c>
      <x:c r="B13" s="105" t="n">
        <x:v>24</x:v>
      </x:c>
      <x:c r="C13" s="52" t="str">
        <x:v>WordPress 备份、更新与健康检查 Care Plan</x:v>
      </x:c>
      <x:c r="D13" s="52" t="str">
        <x:v>网站技术服务</x:v>
      </x:c>
      <x:c r="E13" s="111" t="n">
        <x:v>200</x:v>
      </x:c>
      <x:c r="F13" s="112" t="n">
        <x:v>1</x:v>
      </x:c>
      <x:c r="G13" s="112" t="n">
        <x:v>7</x:v>
      </x:c>
      <x:c r="H13" s="111" t="n">
        <x:v>900</x:v>
      </x:c>
      <x:c r="I13" s="111" t="n">
        <x:v>9000</x:v>
      </x:c>
      <x:c r="J13" s="111" t="n">
        <x:v>30000</x:v>
      </x:c>
      <x:c r="K13" s="113" t="n">
        <x:v>5</x:v>
      </x:c>
      <x:c r="L13" s="113" t="n">
        <x:v>5</x:v>
      </x:c>
      <x:c r="M13" s="113" t="n">
        <x:v>4</x:v>
      </x:c>
      <x:c r="N13" s="113" t="n">
        <x:v>5</x:v>
      </x:c>
      <x:c r="O13" s="113" t="n">
        <x:v>4</x:v>
      </x:c>
      <x:c r="P13" s="113" t="n">
        <x:v>5</x:v>
      </x:c>
      <x:c r="Q13" s="113" t="n">
        <x:v>5</x:v>
      </x:c>
      <x:c r="R13" s="114" t="n">
        <x:f>ROUND(K13*'评分参数'!$B$4+L13*'评分参数'!$B$5+M13*'评分参数'!$B$6+N13*'评分参数'!$B$7+O13*'评分参数'!$B$8+P13*'评分参数'!$B$9+Q13*'评分参数'!$B$10,2)</x:f>
        <x:v>4.75</x:v>
      </x:c>
      <x:c r="S13" s="52" t="str">
        <x:v>启动成本：¥0–200/站/月；报价：¥800–3,000/月/站；大改另报价</x:v>
      </x:c>
      <x:c r="T13" s="52" t="str">
        <x:v>1 个客户为一个 WordPress 站首月 care plan 实际注资/支付 ¥900；付款只验证购买意愿，不是技术通过条件</x:v>
      </x:c>
      <x:c r="U13" s="52" t="str">
        <x:v>更新造成停站</x:v>
      </x:c>
      <x:c r="V13" s="52" t="str">
        <x:v>https://advocacy.sba.gov/wp-content/uploads/2026/02/FINAL_FAQsAboutSmallBusiness_2026_012826.pdf</x:v>
      </x:c>
      <x:c r="W13" s="52" t="str">
        <x:v>methods/24-wordpress-care-plan.md</x:v>
      </x:c>
      <x:c r="X13" s="53" t="n">
        <x:f>IF(B13=20,1,IF(B13=1,2,IF(B13=22,3,1000-R13*100+B13/1000)))</x:f>
        <x:v>525.024</x:v>
      </x:c>
    </x:row>
    <x:row r="14" ht="56" customHeight="1">
      <x:c r="A14" s="50" t="str">
        <x:f>IF(B14=20,"首做",IF(B14=1,"首做",IF(B14=22,"首做",IF(R14&gt;=4.55,"P"&amp;1,IF(R14&gt;=4.10,"P"&amp;2,"P"&amp;3)))))</x:f>
        <x:v>P1</x:v>
      </x:c>
      <x:c r="B14" s="105" t="n">
        <x:v>27</x:v>
      </x:c>
      <x:c r="C14" s="52" t="str">
        <x:v>电商客服宏、订单路由与 AI 辅助</x:v>
      </x:c>
      <x:c r="D14" s="52" t="str">
        <x:v>电商增长</x:v>
      </x:c>
      <x:c r="E14" s="111" t="n">
        <x:v>300</x:v>
      </x:c>
      <x:c r="F14" s="112" t="n">
        <x:v>1</x:v>
      </x:c>
      <x:c r="G14" s="112" t="n">
        <x:v>10</x:v>
      </x:c>
      <x:c r="H14" s="111" t="n">
        <x:v>3500</x:v>
      </x:c>
      <x:c r="I14" s="111" t="n">
        <x:v>17000</x:v>
      </x:c>
      <x:c r="J14" s="111" t="n">
        <x:v>47000</x:v>
      </x:c>
      <x:c r="K14" s="113" t="n">
        <x:v>5</x:v>
      </x:c>
      <x:c r="L14" s="113" t="n">
        <x:v>4</x:v>
      </x:c>
      <x:c r="M14" s="113" t="n">
        <x:v>5</x:v>
      </x:c>
      <x:c r="N14" s="113" t="n">
        <x:v>5</x:v>
      </x:c>
      <x:c r="O14" s="113" t="n">
        <x:v>5</x:v>
      </x:c>
      <x:c r="P14" s="113" t="n">
        <x:v>5</x:v>
      </x:c>
      <x:c r="Q14" s="113" t="n">
        <x:v>4</x:v>
      </x:c>
      <x:c r="R14" s="114" t="n">
        <x:f>ROUND(K14*'评分参数'!$B$4+L14*'评分参数'!$B$5+M14*'评分参数'!$B$6+N14*'评分参数'!$B$7+O14*'评分参数'!$B$8+P14*'评分参数'!$B$9+Q14*'评分参数'!$B$10,2)</x:f>
        <x:v>4.75</x:v>
      </x:c>
      <x:c r="S14" s="52" t="str">
        <x:v>启动成本：¥0–300；报价：设置 ¥4,000–12,000；维护 ¥1,200–4,000/月</x:v>
      </x:c>
      <x:c r="T14" s="52" t="str">
        <x:v>1 个客户为 100 条工单、10 个宏、5 个意图影子试点实际注资/支付 ¥3,500；付款只验证购买意愿，不是技术通过条件</x:v>
      </x:c>
      <x:c r="U14" s="52" t="str">
        <x:v>自动退款/改址造成损失</x:v>
      </x:c>
      <x:c r="V14" s="52" t="str">
        <x:v>https://www.upwork.com/research/in-demand-skills-2026</x:v>
      </x:c>
      <x:c r="W14" s="52" t="str">
        <x:v>methods/27-ecommerce-support-macros.md</x:v>
      </x:c>
      <x:c r="X14" s="53" t="n">
        <x:f>IF(B14=20,1,IF(B14=1,2,IF(B14=22,3,1000-R14*100+B14/1000)))</x:f>
        <x:v>525.027</x:v>
      </x:c>
    </x:row>
    <x:row r="15" ht="56" customHeight="1">
      <x:c r="A15" s="50" t="str">
        <x:f>IF(B15=20,"首做",IF(B15=1,"首做",IF(B15=22,"首做",IF(R15&gt;=4.55,"P"&amp;1,IF(R15&gt;=4.10,"P"&amp;2,"P"&amp;3)))))</x:f>
        <x:v>P1</x:v>
      </x:c>
      <x:c r="B15" s="105" t="n">
        <x:v>14</x:v>
      </x:c>
      <x:c r="C15" s="52" t="str">
        <x:v>CRM 清洗、去重与生命周期提醒</x:v>
      </x:c>
      <x:c r="D15" s="52" t="str">
        <x:v>数据与运营服务</x:v>
      </x:c>
      <x:c r="E15" s="111" t="n">
        <x:v>200</x:v>
      </x:c>
      <x:c r="F15" s="112" t="n">
        <x:v>1</x:v>
      </x:c>
      <x:c r="G15" s="112" t="n">
        <x:v>7</x:v>
      </x:c>
      <x:c r="H15" s="111" t="n">
        <x:v>1500</x:v>
      </x:c>
      <x:c r="I15" s="111" t="n">
        <x:v>12000</x:v>
      </x:c>
      <x:c r="J15" s="111" t="n">
        <x:v>32000</x:v>
      </x:c>
      <x:c r="K15" s="113" t="n">
        <x:v>5</x:v>
      </x:c>
      <x:c r="L15" s="113" t="n">
        <x:v>5</x:v>
      </x:c>
      <x:c r="M15" s="113" t="n">
        <x:v>5</x:v>
      </x:c>
      <x:c r="N15" s="113" t="n">
        <x:v>4</x:v>
      </x:c>
      <x:c r="O15" s="113" t="n">
        <x:v>4</x:v>
      </x:c>
      <x:c r="P15" s="113" t="n">
        <x:v>5</x:v>
      </x:c>
      <x:c r="Q15" s="113" t="n">
        <x:v>5</x:v>
      </x:c>
      <x:c r="R15" s="114" t="n">
        <x:f>ROUND(K15*'评分参数'!$B$4+L15*'评分参数'!$B$5+M15*'评分参数'!$B$6+N15*'评分参数'!$B$7+O15*'评分参数'!$B$8+P15*'评分参数'!$B$9+Q15*'评分参数'!$B$10,2)</x:f>
        <x:v>4.7</x:v>
      </x:c>
      <x:c r="S15" s="52" t="str">
        <x:v>启动成本：¥0–200；报价：审计 ¥1,500–3,000；实施 ¥3,000–10,000；维护 ¥600–2,000/月</x:v>
      </x:c>
      <x:c r="T15" s="52" t="str">
        <x:v>1 个客户为只读审计加 100 条样本迁移实际注资/支付 ¥1,500；付款只验证购买意愿，不是技术通过条件</x:v>
      </x:c>
      <x:c r="U15" s="52" t="str">
        <x:v>错误合并或删除</x:v>
      </x:c>
      <x:c r="V15" s="52" t="str">
        <x:v>https://advocacy.sba.gov/wp-content/uploads/2026/02/FINAL_FAQsAboutSmallBusiness_2026_012826.pdf</x:v>
      </x:c>
      <x:c r="W15" s="52" t="str">
        <x:v>methods/14-crm-cleanup.md</x:v>
      </x:c>
      <x:c r="X15" s="53" t="n">
        <x:f>IF(B15=20,1,IF(B15=1,2,IF(B15=22,3,1000-R15*100+B15/1000)))</x:f>
        <x:v>530.014</x:v>
      </x:c>
    </x:row>
    <x:row r="16" ht="56" customHeight="1">
      <x:c r="A16" s="50" t="str">
        <x:f>IF(B16=20,"首做",IF(B16=1,"首做",IF(B16=22,"首做",IF(R16&gt;=4.55,"P"&amp;1,IF(R16&gt;=4.10,"P"&amp;2,"P"&amp;3)))))</x:f>
        <x:v>P1</x:v>
      </x:c>
      <x:c r="B16" s="105" t="n">
        <x:v>16</x:v>
      </x:c>
      <x:c r="C16" s="52" t="str">
        <x:v>Google Business Profile 月度运营</x:v>
      </x:c>
      <x:c r="D16" s="52" t="str">
        <x:v>本地商业增长</x:v>
      </x:c>
      <x:c r="E16" s="111" t="n">
        <x:v>300</x:v>
      </x:c>
      <x:c r="F16" s="112" t="n">
        <x:v>1</x:v>
      </x:c>
      <x:c r="G16" s="112" t="n">
        <x:v>7</x:v>
      </x:c>
      <x:c r="H16" s="111" t="n">
        <x:v>1800</x:v>
      </x:c>
      <x:c r="I16" s="111" t="n">
        <x:v>12000</x:v>
      </x:c>
      <x:c r="J16" s="111" t="n">
        <x:v>36000</x:v>
      </x:c>
      <x:c r="K16" s="113" t="n">
        <x:v>5</x:v>
      </x:c>
      <x:c r="L16" s="113" t="n">
        <x:v>4</x:v>
      </x:c>
      <x:c r="M16" s="113" t="n">
        <x:v>5</x:v>
      </x:c>
      <x:c r="N16" s="113" t="n">
        <x:v>5</x:v>
      </x:c>
      <x:c r="O16" s="113" t="n">
        <x:v>4</x:v>
      </x:c>
      <x:c r="P16" s="113" t="n">
        <x:v>5</x:v>
      </x:c>
      <x:c r="Q16" s="113" t="n">
        <x:v>5</x:v>
      </x:c>
      <x:c r="R16" s="114" t="n">
        <x:f>ROUND(K16*'评分参数'!$B$4+L16*'评分参数'!$B$5+M16*'评分参数'!$B$6+N16*'评分参数'!$B$7+O16*'评分参数'!$B$8+P16*'评分参数'!$B$9+Q16*'评分参数'!$B$10,2)</x:f>
        <x:v>4.7</x:v>
      </x:c>
      <x:c r="S16" s="52" t="str">
        <x:v>启动成本：¥0–300；报价：¥1,500–4,500/月/地点</x:v>
      </x:c>
      <x:c r="T16" s="52" t="str">
        <x:v>1 个客户为一个地点首月运营实际注资/支付 ¥1,800；付款只验证购买意愿，不是技术通过条件</x:v>
      </x:c>
      <x:c r="U16" s="52" t="str">
        <x:v>违规虚构地址或关键词</x:v>
      </x:c>
      <x:c r="V16" s="52" t="str">
        <x:v>https://advocacy.sba.gov/wp-content/uploads/2026/02/FINAL_FAQsAboutSmallBusiness_2026_012826.pdf</x:v>
      </x:c>
      <x:c r="W16" s="52" t="str">
        <x:v>methods/16-gbp-operations.md</x:v>
      </x:c>
      <x:c r="X16" s="53" t="n">
        <x:f>IF(B16=20,1,IF(B16=1,2,IF(B16=22,3,1000-R16*100+B16/1000)))</x:f>
        <x:v>530.016</x:v>
      </x:c>
    </x:row>
    <x:row r="17" ht="56" customHeight="1">
      <x:c r="A17" s="50" t="str">
        <x:f>IF(B17=20,"首做",IF(B17=1,"首做",IF(B17=22,"首做",IF(R17&gt;=4.55,"P"&amp;1,IF(R17&gt;=4.10,"P"&amp;2,"P"&amp;3)))))</x:f>
        <x:v>P1</x:v>
      </x:c>
      <x:c r="B17" s="105" t="n">
        <x:v>33</x:v>
      </x:c>
      <x:c r="C17" s="52" t="str">
        <x:v>Grants.gov 资助匹配与截止日提醒</x:v>
      </x:c>
      <x:c r="D17" s="52" t="str">
        <x:v>公共数据情报</x:v>
      </x:c>
      <x:c r="E17" s="111" t="n">
        <x:v>300</x:v>
      </x:c>
      <x:c r="F17" s="112" t="n">
        <x:v>2</x:v>
      </x:c>
      <x:c r="G17" s="112" t="n">
        <x:v>10</x:v>
      </x:c>
      <x:c r="H17" s="111" t="n">
        <x:v>799</x:v>
      </x:c>
      <x:c r="I17" s="111" t="n">
        <x:v>7990</x:v>
      </x:c>
      <x:c r="J17" s="111" t="n">
        <x:v>28000</x:v>
      </x:c>
      <x:c r="K17" s="113" t="n">
        <x:v>5</x:v>
      </x:c>
      <x:c r="L17" s="113" t="n">
        <x:v>4</x:v>
      </x:c>
      <x:c r="M17" s="113" t="n">
        <x:v>5</x:v>
      </x:c>
      <x:c r="N17" s="113" t="n">
        <x:v>5</x:v>
      </x:c>
      <x:c r="O17" s="113" t="n">
        <x:v>5</x:v>
      </x:c>
      <x:c r="P17" s="113" t="n">
        <x:v>4</x:v>
      </x:c>
      <x:c r="Q17" s="113" t="n">
        <x:v>5</x:v>
      </x:c>
      <x:c r="R17" s="114" t="n">
        <x:f>ROUND(K17*'评分参数'!$B$4+L17*'评分参数'!$B$5+M17*'评分参数'!$B$6+N17*'评分参数'!$B$7+O17*'评分参数'!$B$8+P17*'评分参数'!$B$9+Q17*'评分参数'!$B$10,2)</x:f>
        <x:v>4.7</x:v>
      </x:c>
      <x:c r="S17" s="52" t="str">
        <x:v>启动成本：¥0–300；报价：¥399–1,499/月；定制匹配报告 ¥1,000–3,500</x:v>
      </x:c>
      <x:c r="T17" s="52" t="str">
        <x:v>给 3 个组织各做 5 条样报；至少 1 个以 ¥799 预订一个月，否则更换细分</x:v>
      </x:c>
      <x:c r="U17" s="52" t="str">
        <x:v>错误资格或承诺获批</x:v>
      </x:c>
      <x:c r="V17" s="52" t="str">
        <x:v>https://www.grants.gov/api</x:v>
      </x:c>
      <x:c r="W17" s="52" t="str">
        <x:v>methods/33-grants-matching.md</x:v>
      </x:c>
      <x:c r="X17" s="53" t="n">
        <x:f>IF(B17=20,1,IF(B17=1,2,IF(B17=22,3,1000-R17*100+B17/1000)))</x:f>
        <x:v>530.033</x:v>
      </x:c>
    </x:row>
    <x:row r="18" ht="56" customHeight="1">
      <x:c r="A18" s="50" t="str">
        <x:f>IF(B18=20,"首做",IF(B18=1,"首做",IF(B18=22,"首做",IF(R18&gt;=4.55,"P"&amp;1,IF(R18&gt;=4.10,"P"&amp;2,"P"&amp;3)))))</x:f>
        <x:v>P1</x:v>
      </x:c>
      <x:c r="B18" s="105" t="n">
        <x:v>3</x:v>
      </x:c>
      <x:c r="C18" s="52" t="str">
        <x:v>共享邮箱分类与回复草稿</x:v>
      </x:c>
      <x:c r="D18" s="52" t="str">
        <x:v>AI与业务自动化</x:v>
      </x:c>
      <x:c r="E18" s="111" t="n">
        <x:v>400</x:v>
      </x:c>
      <x:c r="F18" s="112" t="n">
        <x:v>2</x:v>
      </x:c>
      <x:c r="G18" s="112" t="n">
        <x:v>10</x:v>
      </x:c>
      <x:c r="H18" s="111" t="n">
        <x:v>3500</x:v>
      </x:c>
      <x:c r="I18" s="111" t="n">
        <x:v>15500</x:v>
      </x:c>
      <x:c r="J18" s="111" t="n">
        <x:v>43000</x:v>
      </x:c>
      <x:c r="K18" s="113" t="n">
        <x:v>5</x:v>
      </x:c>
      <x:c r="L18" s="113" t="n">
        <x:v>4</x:v>
      </x:c>
      <x:c r="M18" s="113" t="n">
        <x:v>5</x:v>
      </x:c>
      <x:c r="N18" s="113" t="n">
        <x:v>5</x:v>
      </x:c>
      <x:c r="O18" s="113" t="n">
        <x:v>5</x:v>
      </x:c>
      <x:c r="P18" s="113" t="n">
        <x:v>4</x:v>
      </x:c>
      <x:c r="Q18" s="113" t="n">
        <x:v>4</x:v>
      </x:c>
      <x:c r="R18" s="114" t="n">
        <x:f>ROUND(K18*'评分参数'!$B$4+L18*'评分参数'!$B$5+M18*'评分参数'!$B$6+N18*'评分参数'!$B$7+O18*'评分参数'!$B$8+P18*'评分参数'!$B$9+Q18*'评分参数'!$B$10,2)</x:f>
        <x:v>4.6</x:v>
      </x:c>
      <x:c r="S18" s="52" t="str">
        <x:v>启动成本：¥50–400；报价：设置 ¥4,000–10,000；维护 ¥1,200–3,500/月</x:v>
      </x:c>
      <x:c r="T18" s="52" t="str">
        <x:v>1 个客户为 100 封脱敏邮件影子试点实际注资/支付 ¥3,500；付款只验证购买意愿，不是技术通过条件</x:v>
      </x:c>
      <x:c r="U18" s="52" t="str">
        <x:v>错误自动发送</x:v>
      </x:c>
      <x:c r="V18" s="52" t="str">
        <x:v>https://www.census.gov/library/stories/2026/05/ai-use-businesses.html</x:v>
      </x:c>
      <x:c r="W18" s="52" t="str">
        <x:v>methods/03-shared-inbox-triage.md</x:v>
      </x:c>
      <x:c r="X18" s="53" t="n">
        <x:f>IF(B18=20,1,IF(B18=1,2,IF(B18=22,3,1000-R18*100+B18/1000)))</x:f>
        <x:v>540.003</x:v>
      </x:c>
    </x:row>
    <x:row r="19" ht="56" customHeight="1">
      <x:c r="A19" s="50" t="str">
        <x:f>IF(B19=20,"首做",IF(B19=1,"首做",IF(B19=22,"首做",IF(R19&gt;=4.55,"P"&amp;1,IF(R19&gt;=4.10,"P"&amp;2,"P"&amp;3)))))</x:f>
        <x:v>P1</x:v>
      </x:c>
      <x:c r="B19" s="105" t="n">
        <x:v>25</x:v>
      </x:c>
      <x:c r="C19" s="52" t="str">
        <x:v>Shopify 弃单、购后与复购自动化配置</x:v>
      </x:c>
      <x:c r="D19" s="52" t="str">
        <x:v>电商增长</x:v>
      </x:c>
      <x:c r="E19" s="111" t="n">
        <x:v>200</x:v>
      </x:c>
      <x:c r="F19" s="112" t="n">
        <x:v>1</x:v>
      </x:c>
      <x:c r="G19" s="112" t="n">
        <x:v>10</x:v>
      </x:c>
      <x:c r="H19" s="111" t="n">
        <x:v>3500</x:v>
      </x:c>
      <x:c r="I19" s="111" t="n">
        <x:v>17000</x:v>
      </x:c>
      <x:c r="J19" s="111" t="n">
        <x:v>48000</x:v>
      </x:c>
      <x:c r="K19" s="113" t="n">
        <x:v>5</x:v>
      </x:c>
      <x:c r="L19" s="113" t="n">
        <x:v>4</x:v>
      </x:c>
      <x:c r="M19" s="113" t="n">
        <x:v>5</x:v>
      </x:c>
      <x:c r="N19" s="113" t="n">
        <x:v>5</x:v>
      </x:c>
      <x:c r="O19" s="113" t="n">
        <x:v>4</x:v>
      </x:c>
      <x:c r="P19" s="113" t="n">
        <x:v>5</x:v>
      </x:c>
      <x:c r="Q19" s="113" t="n">
        <x:v>4</x:v>
      </x:c>
      <x:c r="R19" s="114" t="n">
        <x:f>ROUND(K19*'评分参数'!$B$4+L19*'评分参数'!$B$5+M19*'评分参数'!$B$6+N19*'评分参数'!$B$7+O19*'评分参数'!$B$8+P19*'评分参数'!$B$9+Q19*'评分参数'!$B$10,2)</x:f>
        <x:v>4.6</x:v>
      </x:c>
      <x:c r="S19" s="52" t="str">
        <x:v>启动成本：¥0–200；报价：设置 ¥4,000–12,000；优化 ¥1,500–4,000/月</x:v>
      </x:c>
      <x:c r="T19" s="52" t="str">
        <x:v>1 个客户为欢迎、弃单、购后三条流程设置实际注资/支付 ¥3,500；付款只验证购买意愿，不是技术通过条件</x:v>
      </x:c>
      <x:c r="U19" s="52" t="str">
        <x:v>无同意发送营销邮件</x:v>
      </x:c>
      <x:c r="V19" s="52" t="str">
        <x:v>https://www.census.gov/retail/ecommerce.html</x:v>
      </x:c>
      <x:c r="W19" s="52" t="str">
        <x:v>methods/25-shopify-lifecycle-flows.md</x:v>
      </x:c>
      <x:c r="X19" s="53" t="n">
        <x:f>IF(B19=20,1,IF(B19=1,2,IF(B19=22,3,1000-R19*100+B19/1000)))</x:f>
        <x:v>540.025</x:v>
      </x:c>
    </x:row>
    <x:row r="20" ht="56" customHeight="1">
      <x:c r="A20" s="50" t="str">
        <x:f>IF(B20=20,"首做",IF(B20=1,"首做",IF(B20=22,"首做",IF(R20&gt;=4.55,"P"&amp;1,IF(R20&gt;=4.10,"P"&amp;2,"P"&amp;3)))))</x:f>
        <x:v>P2</x:v>
      </x:c>
      <x:c r="B20" s="105" t="n">
        <x:v>4</x:v>
      </x:c>
      <x:c r="C20" s="52" t="str">
        <x:v>客服工单优先级与 SLA 升级</x:v>
      </x:c>
      <x:c r="D20" s="52" t="str">
        <x:v>AI与业务自动化</x:v>
      </x:c>
      <x:c r="E20" s="111" t="n">
        <x:v>500</x:v>
      </x:c>
      <x:c r="F20" s="112" t="n">
        <x:v>2</x:v>
      </x:c>
      <x:c r="G20" s="112" t="n">
        <x:v>10</x:v>
      </x:c>
      <x:c r="H20" s="111" t="n">
        <x:v>4500</x:v>
      </x:c>
      <x:c r="I20" s="111" t="n">
        <x:v>21000</x:v>
      </x:c>
      <x:c r="J20" s="111" t="n">
        <x:v>59000</x:v>
      </x:c>
      <x:c r="K20" s="113" t="n">
        <x:v>5</x:v>
      </x:c>
      <x:c r="L20" s="113" t="n">
        <x:v>4</x:v>
      </x:c>
      <x:c r="M20" s="113" t="n">
        <x:v>4</x:v>
      </x:c>
      <x:c r="N20" s="113" t="n">
        <x:v>5</x:v>
      </x:c>
      <x:c r="O20" s="113" t="n">
        <x:v>5</x:v>
      </x:c>
      <x:c r="P20" s="113" t="n">
        <x:v>4</x:v>
      </x:c>
      <x:c r="Q20" s="113" t="n">
        <x:v>4</x:v>
      </x:c>
      <x:c r="R20" s="114" t="n">
        <x:f>ROUND(K20*'评分参数'!$B$4+L20*'评分参数'!$B$5+M20*'评分参数'!$B$6+N20*'评分参数'!$B$7+O20*'评分参数'!$B$8+P20*'评分参数'!$B$9+Q20*'评分参数'!$B$10,2)</x:f>
        <x:v>4.5</x:v>
      </x:c>
      <x:c r="S20" s="52" t="str">
        <x:v>启动成本：¥100–500；报价：设置 ¥5,000–15,000；监控 ¥1,500–5,000/月</x:v>
      </x:c>
      <x:c r="T20" s="52" t="str">
        <x:v>1 个客户为 200 条工单影子试点实际注资/支付 ¥4,500；付款只验证购买意愿，不是技术通过条件</x:v>
      </x:c>
      <x:c r="U20" s="52" t="str">
        <x:v>漏掉严重投诉或安全事件</x:v>
      </x:c>
      <x:c r="V20" s="52" t="str">
        <x:v>https://www.upwork.com/research/in-demand-skills-2026</x:v>
      </x:c>
      <x:c r="W20" s="52" t="str">
        <x:v>methods/04-support-sla-triage.md</x:v>
      </x:c>
      <x:c r="X20" s="53" t="n">
        <x:f>IF(B20=20,1,IF(B20=1,2,IF(B20=22,3,1000-R20*100+B20/1000)))</x:f>
        <x:v>550.004</x:v>
      </x:c>
    </x:row>
    <x:row r="21" ht="56" customHeight="1">
      <x:c r="A21" s="50" t="str">
        <x:f>IF(B21=20,"首做",IF(B21=1,"首做",IF(B21=22,"首做",IF(R21&gt;=4.55,"P"&amp;1,IF(R21&gt;=4.10,"P"&amp;2,"P"&amp;3)))))</x:f>
        <x:v>P2</x:v>
      </x:c>
      <x:c r="B21" s="105" t="n">
        <x:v>50</x:v>
      </x:c>
      <x:c r="C21" s="52" t="str">
        <x:v>Shopify 数字商品附件与交付审计</x:v>
      </x:c>
      <x:c r="D21" s="52" t="str">
        <x:v>电商增长</x:v>
      </x:c>
      <x:c r="E21" s="111" t="n">
        <x:v>200</x:v>
      </x:c>
      <x:c r="F21" s="112" t="n">
        <x:v>1</x:v>
      </x:c>
      <x:c r="G21" s="112" t="n">
        <x:v>10</x:v>
      </x:c>
      <x:c r="H21" s="111" t="n">
        <x:v>1505</x:v>
      </x:c>
      <x:c r="I21" s="111" t="n">
        <x:v>8500</x:v>
      </x:c>
      <x:c r="J21" s="111" t="n">
        <x:v>24000</x:v>
      </x:c>
      <x:c r="K21" s="113" t="n">
        <x:v>4</x:v>
      </x:c>
      <x:c r="L21" s="113" t="n">
        <x:v>5</x:v>
      </x:c>
      <x:c r="M21" s="113" t="n">
        <x:v>5</x:v>
      </x:c>
      <x:c r="N21" s="113" t="n">
        <x:v>4</x:v>
      </x:c>
      <x:c r="O21" s="113" t="n">
        <x:v>4</x:v>
      </x:c>
      <x:c r="P21" s="113" t="n">
        <x:v>5</x:v>
      </x:c>
      <x:c r="Q21" s="113" t="n">
        <x:v>5</x:v>
      </x:c>
      <x:c r="R21" s="114" t="n">
        <x:f>ROUND(K21*'评分参数'!$B$4+L21*'评分参数'!$B$5+M21*'评分参数'!$B$6+N21*'评分参数'!$B$7+O21*'评分参数'!$B$8+P21*'评分参数'!$B$9+Q21*'评分参数'!$B$10,2)</x:f>
        <x:v>4.5</x:v>
      </x:c>
      <x:c r="S21" s="52" t="str">
        <x:v>启动成本：¥0–200；报价：Upwork 20 商品试点 US$215；后续审计 ¥1,500–5,000；月度复检 ¥500–1,500</x:v>
      </x:c>
      <x:c r="T21" s="52" t="str">
        <x:v>先审计 5 个商品并展示 1 条真实映射缺口；1 个客户购买并全额注资一个 US$215 Upwork Project Catalog 试点（按 US$1=¥7 为 ¥1,505）</x:v>
      </x:c>
      <x:c r="U21" s="52" t="str">
        <x:v>test mode 阻断真实客户下单</x:v>
      </x:c>
      <x:c r="V21" s="52" t="str">
        <x:v>https://www.shopify.com/news/about-us</x:v>
      </x:c>
      <x:c r="W21" s="52" t="str">
        <x:v>methods/50-shopify-digital-delivery-audit.md</x:v>
      </x:c>
      <x:c r="X21" s="53" t="n">
        <x:f>IF(B21=20,1,IF(B21=1,2,IF(B21=22,3,1000-R21*100+B21/1000)))</x:f>
        <x:v>550.05</x:v>
      </x:c>
    </x:row>
    <x:row r="22" ht="56" customHeight="1">
      <x:c r="A22" s="50" t="str">
        <x:f>IF(B22=20,"首做",IF(B22=1,"首做",IF(B22=22,"首做",IF(R22&gt;=4.55,"P"&amp;1,IF(R22&gt;=4.10,"P"&amp;2,"P"&amp;3)))))</x:f>
        <x:v>P2</x:v>
      </x:c>
      <x:c r="B22" s="105" t="n">
        <x:v>8</x:v>
      </x:c>
      <x:c r="C22" s="52" t="str">
        <x:v>成交后客户 Onboarding 自动化</x:v>
      </x:c>
      <x:c r="D22" s="52" t="str">
        <x:v>AI与业务自动化</x:v>
      </x:c>
      <x:c r="E22" s="111" t="n">
        <x:v>300</x:v>
      </x:c>
      <x:c r="F22" s="112" t="n">
        <x:v>2</x:v>
      </x:c>
      <x:c r="G22" s="112" t="n">
        <x:v>10</x:v>
      </x:c>
      <x:c r="H22" s="111" t="n">
        <x:v>4000</x:v>
      </x:c>
      <x:c r="I22" s="111" t="n">
        <x:v>17500</x:v>
      </x:c>
      <x:c r="J22" s="111" t="n">
        <x:v>47000</x:v>
      </x:c>
      <x:c r="K22" s="113" t="n">
        <x:v>5</x:v>
      </x:c>
      <x:c r="L22" s="113" t="n">
        <x:v>4</x:v>
      </x:c>
      <x:c r="M22" s="113" t="n">
        <x:v>5</x:v>
      </x:c>
      <x:c r="N22" s="113" t="n">
        <x:v>4</x:v>
      </x:c>
      <x:c r="O22" s="113" t="n">
        <x:v>5</x:v>
      </x:c>
      <x:c r="P22" s="113" t="n">
        <x:v>4</x:v>
      </x:c>
      <x:c r="Q22" s="113" t="n">
        <x:v>4</x:v>
      </x:c>
      <x:c r="R22" s="114" t="n">
        <x:f>ROUND(K22*'评分参数'!$B$4+L22*'评分参数'!$B$5+M22*'评分参数'!$B$6+N22*'评分参数'!$B$7+O22*'评分参数'!$B$8+P22*'评分参数'!$B$9+Q22*'评分参数'!$B$10,2)</x:f>
        <x:v>4.45</x:v>
      </x:c>
      <x:c r="S22" s="52" t="str">
        <x:v>启动成本：¥0–300；报价：设置 ¥5,000–15,000；维护 ¥800–2,500/月</x:v>
      </x:c>
      <x:c r="T22" s="52" t="str">
        <x:v>1 个客户为单产品 onboarding 试点实际注资/支付 ¥4,000；付款只验证购买意愿，不是技术通过条件</x:v>
      </x:c>
      <x:c r="U22" s="52" t="str">
        <x:v>重复触发创建重复项目</x:v>
      </x:c>
      <x:c r="V22" s="52" t="str">
        <x:v>https://www.upwork.com/research/in-demand-skills-2026</x:v>
      </x:c>
      <x:c r="W22" s="52" t="str">
        <x:v>methods/08-client-onboarding-automation.md</x:v>
      </x:c>
      <x:c r="X22" s="53" t="n">
        <x:f>IF(B22=20,1,IF(B22=1,2,IF(B22=22,3,1000-R22*100+B22/1000)))</x:f>
        <x:v>555.008</x:v>
      </x:c>
    </x:row>
    <x:row r="23" ht="56" customHeight="1">
      <x:c r="A23" s="50" t="str">
        <x:f>IF(B23=20,"首做",IF(B23=1,"首做",IF(B23=22,"首做",IF(R23&gt;=4.55,"P"&amp;1,IF(R23&gt;=4.10,"P"&amp;2,"P"&amp;3)))))</x:f>
        <x:v>P2</x:v>
      </x:c>
      <x:c r="B23" s="105" t="n">
        <x:v>26</x:v>
      </x:c>
      <x:c r="C23" s="52" t="str">
        <x:v>Shopify 多语店面本地化 QA</x:v>
      </x:c>
      <x:c r="D23" s="52" t="str">
        <x:v>内容与本地化</x:v>
      </x:c>
      <x:c r="E23" s="111" t="n">
        <x:v>300</x:v>
      </x:c>
      <x:c r="F23" s="112" t="n">
        <x:v>1</x:v>
      </x:c>
      <x:c r="G23" s="112" t="n">
        <x:v>14</x:v>
      </x:c>
      <x:c r="H23" s="111" t="n">
        <x:v>4000</x:v>
      </x:c>
      <x:c r="I23" s="111" t="n">
        <x:v>18000</x:v>
      </x:c>
      <x:c r="J23" s="111" t="n">
        <x:v>48000</x:v>
      </x:c>
      <x:c r="K23" s="113" t="n">
        <x:v>5</x:v>
      </x:c>
      <x:c r="L23" s="113" t="n">
        <x:v>4</x:v>
      </x:c>
      <x:c r="M23" s="113" t="n">
        <x:v>5</x:v>
      </x:c>
      <x:c r="N23" s="113" t="n">
        <x:v>4</x:v>
      </x:c>
      <x:c r="O23" s="113" t="n">
        <x:v>4</x:v>
      </x:c>
      <x:c r="P23" s="113" t="n">
        <x:v>5</x:v>
      </x:c>
      <x:c r="Q23" s="113" t="n">
        <x:v>4</x:v>
      </x:c>
      <x:c r="R23" s="114" t="n">
        <x:f>ROUND(K23*'评分参数'!$B$4+L23*'评分参数'!$B$5+M23*'评分参数'!$B$6+N23*'评分参数'!$B$7+O23*'评分参数'!$B$8+P23*'评分参数'!$B$9+Q23*'评分参数'!$B$10,2)</x:f>
        <x:v>4.45</x:v>
      </x:c>
      <x:c r="S23" s="52" t="str">
        <x:v>启动成本：¥0–300；报价：¥4,000–15,000/语言/店；复检 ¥800–2,000/月</x:v>
      </x:c>
      <x:c r="T23" s="52" t="str">
        <x:v>1 个客户为一个 collection、20 SKU、一个语言 QA 试点实际注资/支付 ¥4,000；付款只验证购买意愿，不是技术通过条件</x:v>
      </x:c>
      <x:c r="U23" s="52" t="str">
        <x:v>法律/税务文本误译</x:v>
      </x:c>
      <x:c r="V23" s="52" t="str">
        <x:v>https://www.census.gov/retail/ecommerce.html</x:v>
      </x:c>
      <x:c r="W23" s="52" t="str">
        <x:v>methods/26-shopify-localization-qa.md</x:v>
      </x:c>
      <x:c r="X23" s="53" t="n">
        <x:f>IF(B23=20,1,IF(B23=1,2,IF(B23=22,3,1000-R23*100+B23/1000)))</x:f>
        <x:v>555.026</x:v>
      </x:c>
    </x:row>
    <x:row r="24" ht="56" customHeight="1">
      <x:c r="A24" s="50" t="str">
        <x:f>IF(B24=20,"首做",IF(B24=1,"首做",IF(B24=22,"首做",IF(R24&gt;=4.55,"P"&amp;1,IF(R24&gt;=4.10,"P"&amp;2,"P"&amp;3)))))</x:f>
        <x:v>P2</x:v>
      </x:c>
      <x:c r="B24" s="105" t="n">
        <x:v>29</x:v>
      </x:c>
      <x:c r="C24" s="52" t="str">
        <x:v>中小企业网络安全卫生基线</x:v>
      </x:c>
      <x:c r="D24" s="52" t="str">
        <x:v>网站技术服务</x:v>
      </x:c>
      <x:c r="E24" s="111" t="n">
        <x:v>300</x:v>
      </x:c>
      <x:c r="F24" s="112" t="n">
        <x:v>1</x:v>
      </x:c>
      <x:c r="G24" s="112" t="n">
        <x:v>10</x:v>
      </x:c>
      <x:c r="H24" s="111" t="n">
        <x:v>4000</x:v>
      </x:c>
      <x:c r="I24" s="111" t="n">
        <x:v>16000</x:v>
      </x:c>
      <x:c r="J24" s="111" t="n">
        <x:v>43000</x:v>
      </x:c>
      <x:c r="K24" s="113" t="n">
        <x:v>5</x:v>
      </x:c>
      <x:c r="L24" s="113" t="n">
        <x:v>4</x:v>
      </x:c>
      <x:c r="M24" s="113" t="n">
        <x:v>5</x:v>
      </x:c>
      <x:c r="N24" s="113" t="n">
        <x:v>4</x:v>
      </x:c>
      <x:c r="O24" s="113" t="n">
        <x:v>4</x:v>
      </x:c>
      <x:c r="P24" s="113" t="n">
        <x:v>5</x:v>
      </x:c>
      <x:c r="Q24" s="113" t="n">
        <x:v>4</x:v>
      </x:c>
      <x:c r="R24" s="114" t="n">
        <x:f>ROUND(K24*'评分参数'!$B$4+L24*'评分参数'!$B$5+M24*'评分参数'!$B$6+N24*'评分参数'!$B$7+O24*'评分参数'!$B$8+P24*'评分参数'!$B$9+Q24*'评分参数'!$B$10,2)</x:f>
        <x:v>4.45</x:v>
      </x:c>
      <x:c r="S24" s="52" t="str">
        <x:v>启动成本：¥0–300；报价：基线 ¥4,000–12,000；季度复检 ¥1,500–4,000</x:v>
      </x:c>
      <x:c r="T24" s="52" t="str">
        <x:v>1 个客户为 10 项基线试点注资/支付 ¥4,000</x:v>
      </x:c>
      <x:c r="U24" s="52" t="str">
        <x:v>超出能力宣称安全保证</x:v>
      </x:c>
      <x:c r="V24" s="52" t="str">
        <x:v>https://advocacy.sba.gov/wp-content/uploads/2026/02/FINAL_FAQsAboutSmallBusiness_2026_012826.pdf</x:v>
      </x:c>
      <x:c r="W24" s="52" t="str">
        <x:v>methods/29-smb-cyber-hygiene.md</x:v>
      </x:c>
      <x:c r="X24" s="53" t="n">
        <x:f>IF(B24=20,1,IF(B24=1,2,IF(B24=22,3,1000-R24*100+B24/1000)))</x:f>
        <x:v>555.029</x:v>
      </x:c>
    </x:row>
    <x:row r="25" ht="56" customHeight="1">
      <x:c r="A25" s="50" t="str">
        <x:f>IF(B25=20,"首做",IF(B25=1,"首做",IF(B25=22,"首做",IF(R25&gt;=4.55,"P"&amp;1,IF(R25&gt;=4.10,"P"&amp;2,"P"&amp;3)))))</x:f>
        <x:v>P2</x:v>
      </x:c>
      <x:c r="B25" s="105" t="n">
        <x:v>2</x:v>
      </x:c>
      <x:c r="C25" s="52" t="str">
        <x:v>会议转写到 CRM 与任务自动化</x:v>
      </x:c>
      <x:c r="D25" s="52" t="str">
        <x:v>AI与业务自动化</x:v>
      </x:c>
      <x:c r="E25" s="111" t="n">
        <x:v>300</x:v>
      </x:c>
      <x:c r="F25" s="112" t="n">
        <x:v>1</x:v>
      </x:c>
      <x:c r="G25" s="112" t="n">
        <x:v>7</x:v>
      </x:c>
      <x:c r="H25" s="111" t="n">
        <x:v>2000</x:v>
      </x:c>
      <x:c r="I25" s="111" t="n">
        <x:v>11000</x:v>
      </x:c>
      <x:c r="J25" s="111" t="n">
        <x:v>30000</x:v>
      </x:c>
      <x:c r="K25" s="113" t="n">
        <x:v>4</x:v>
      </x:c>
      <x:c r="L25" s="113" t="n">
        <x:v>5</x:v>
      </x:c>
      <x:c r="M25" s="113" t="n">
        <x:v>5</x:v>
      </x:c>
      <x:c r="N25" s="113" t="n">
        <x:v>4</x:v>
      </x:c>
      <x:c r="O25" s="113" t="n">
        <x:v>5</x:v>
      </x:c>
      <x:c r="P25" s="113" t="n">
        <x:v>4</x:v>
      </x:c>
      <x:c r="Q25" s="113" t="n">
        <x:v>4</x:v>
      </x:c>
      <x:c r="R25" s="114" t="n">
        <x:f>ROUND(K25*'评分参数'!$B$4+L25*'评分参数'!$B$5+M25*'评分参数'!$B$6+N25*'评分参数'!$B$7+O25*'评分参数'!$B$8+P25*'评分参数'!$B$9+Q25*'评分参数'!$B$10,2)</x:f>
        <x:v>4.4</x:v>
      </x:c>
      <x:c r="S25" s="52" t="str">
        <x:v>启动成本：¥0–300；报价：设置 ¥3,000–8,000；监控 ¥800–2,000/月</x:v>
      </x:c>
      <x:c r="T25" s="52" t="str">
        <x:v>1 个客户为 5 场会议影子试点实际注资/支付 ¥2,000；付款只验证购买意愿，不是技术通过条件</x:v>
      </x:c>
      <x:c r="U25" s="52" t="str">
        <x:v>敏感会议未经授权</x:v>
      </x:c>
      <x:c r="V25" s="52" t="str">
        <x:v>https://www.census.gov/library/stories/2026/05/ai-use-businesses.html</x:v>
      </x:c>
      <x:c r="W25" s="52" t="str">
        <x:v>methods/02-meeting-to-crm.md</x:v>
      </x:c>
      <x:c r="X25" s="53" t="n">
        <x:f>IF(B25=20,1,IF(B25=1,2,IF(B25=22,3,1000-R25*100+B25/1000)))</x:f>
        <x:v>560.002</x:v>
      </x:c>
    </x:row>
    <x:row r="26" ht="56" customHeight="1">
      <x:c r="A26" s="50" t="str">
        <x:f>IF(B26=20,"首做",IF(B26=1,"首做",IF(B26=22,"首做",IF(R26&gt;=4.55,"P"&amp;1,IF(R26&gt;=4.10,"P"&amp;2,"P"&amp;3)))))</x:f>
        <x:v>P2</x:v>
      </x:c>
      <x:c r="B26" s="105" t="n">
        <x:v>17</x:v>
      </x:c>
      <x:c r="C26" s="52" t="str">
        <x:v>Webinar/Podcast 多渠道内容包</x:v>
      </x:c>
      <x:c r="D26" s="52" t="str">
        <x:v>内容与本地化</x:v>
      </x:c>
      <x:c r="E26" s="111" t="n">
        <x:v>300</x:v>
      </x:c>
      <x:c r="F26" s="112" t="n">
        <x:v>1</x:v>
      </x:c>
      <x:c r="G26" s="112" t="n">
        <x:v>5</x:v>
      </x:c>
      <x:c r="H26" s="111" t="n">
        <x:v>2500</x:v>
      </x:c>
      <x:c r="I26" s="111" t="n">
        <x:v>16000</x:v>
      </x:c>
      <x:c r="J26" s="111" t="n">
        <x:v>45000</x:v>
      </x:c>
      <x:c r="K26" s="113" t="n">
        <x:v>4</x:v>
      </x:c>
      <x:c r="L26" s="113" t="n">
        <x:v>5</x:v>
      </x:c>
      <x:c r="M26" s="113" t="n">
        <x:v>5</x:v>
      </x:c>
      <x:c r="N26" s="113" t="n">
        <x:v>4</x:v>
      </x:c>
      <x:c r="O26" s="113" t="n">
        <x:v>4</x:v>
      </x:c>
      <x:c r="P26" s="113" t="n">
        <x:v>5</x:v>
      </x:c>
      <x:c r="Q26" s="113" t="n">
        <x:v>4</x:v>
      </x:c>
      <x:c r="R26" s="114" t="n">
        <x:f>ROUND(K26*'评分参数'!$B$4+L26*'评分参数'!$B$5+M26*'评分参数'!$B$6+N26*'评分参数'!$B$7+O26*'评分参数'!$B$8+P26*'评分参数'!$B$9+Q26*'评分参数'!$B$10,2)</x:f>
        <x:v>4.4</x:v>
      </x:c>
      <x:c r="S26" s="52" t="str">
        <x:v>启动成本：¥0–300；报价：¥2,500–8,000/期；¥6,000–20,000/月</x:v>
      </x:c>
      <x:c r="T26" s="52" t="str">
        <x:v>1 个客户为一场 Webinar/Podcast 内容包实际注资/支付 ¥2,500；付款只验证购买意愿，不是技术通过条件</x:v>
      </x:c>
      <x:c r="U26" s="52" t="str">
        <x:v>AI 内容同质且有错引</x:v>
      </x:c>
      <x:c r="V26" s="52" t="str">
        <x:v>https://www.upwork.com/research/in-demand-skills-2026</x:v>
      </x:c>
      <x:c r="W26" s="52" t="str">
        <x:v>methods/17-content-repurposing.md</x:v>
      </x:c>
      <x:c r="X26" s="53" t="n">
        <x:f>IF(B26=20,1,IF(B26=1,2,IF(B26=22,3,1000-R26*100+B26/1000)))</x:f>
        <x:v>560.017</x:v>
      </x:c>
    </x:row>
    <x:row r="27" ht="56" customHeight="1">
      <x:c r="A27" s="50" t="str">
        <x:f>IF(B27=20,"首做",IF(B27=1,"首做",IF(B27=22,"首做",IF(R27&gt;=4.55,"P"&amp;1,IF(R27&gt;=4.10,"P"&amp;2,"P"&amp;3)))))</x:f>
        <x:v>P2</x:v>
      </x:c>
      <x:c r="B27" s="105" t="n">
        <x:v>19</x:v>
      </x:c>
      <x:c r="C27" s="52" t="str">
        <x:v>电商目录、Variant 与属性清洗</x:v>
      </x:c>
      <x:c r="D27" s="52" t="str">
        <x:v>电商增长</x:v>
      </x:c>
      <x:c r="E27" s="111" t="n">
        <x:v>200</x:v>
      </x:c>
      <x:c r="F27" s="112" t="n">
        <x:v>1</x:v>
      </x:c>
      <x:c r="G27" s="112" t="n">
        <x:v>14</x:v>
      </x:c>
      <x:c r="H27" s="111" t="n">
        <x:v>3000</x:v>
      </x:c>
      <x:c r="I27" s="111" t="n">
        <x:v>15000</x:v>
      </x:c>
      <x:c r="J27" s="111" t="n">
        <x:v>42000</x:v>
      </x:c>
      <x:c r="K27" s="113" t="n">
        <x:v>5</x:v>
      </x:c>
      <x:c r="L27" s="113" t="n">
        <x:v>4</x:v>
      </x:c>
      <x:c r="M27" s="113" t="n">
        <x:v>5</x:v>
      </x:c>
      <x:c r="N27" s="113" t="n">
        <x:v>3</x:v>
      </x:c>
      <x:c r="O27" s="113" t="n">
        <x:v>4</x:v>
      </x:c>
      <x:c r="P27" s="113" t="n">
        <x:v>5</x:v>
      </x:c>
      <x:c r="Q27" s="113" t="n">
        <x:v>5</x:v>
      </x:c>
      <x:c r="R27" s="114" t="n">
        <x:f>ROUND(K27*'评分参数'!$B$4+L27*'评分参数'!$B$5+M27*'评分参数'!$B$6+N27*'评分参数'!$B$7+O27*'评分参数'!$B$8+P27*'评分参数'!$B$9+Q27*'评分参数'!$B$10,2)</x:f>
        <x:v>4.4</x:v>
      </x:c>
      <x:c r="S27" s="52" t="str">
        <x:v>启动成本：¥0–200；报价：审计 ¥2,000–5,000；全量 ¥5,000–20,000</x:v>
      </x:c>
      <x:c r="T27" s="52" t="str">
        <x:v>1 个客户为 100 SKU 审计和 20 SKU 样本修复实际注资/支付 ¥3,000；付款只验证购买意愿，不是技术通过条件</x:v>
      </x:c>
      <x:c r="U27" s="52" t="str">
        <x:v>猜测 GTIN、品牌或材质</x:v>
      </x:c>
      <x:c r="V27" s="52" t="str">
        <x:v>https://www.census.gov/retail/ecommerce.html</x:v>
      </x:c>
      <x:c r="W27" s="52" t="str">
        <x:v>methods/19-ecommerce-catalog-cleanup.md</x:v>
      </x:c>
      <x:c r="X27" s="53" t="n">
        <x:f>IF(B27=20,1,IF(B27=1,2,IF(B27=22,3,1000-R27*100+B27/1000)))</x:f>
        <x:v>560.019</x:v>
      </x:c>
    </x:row>
    <x:row r="28" ht="56" customHeight="1">
      <x:c r="A28" s="50" t="str">
        <x:f>IF(B28=20,"首做",IF(B28=1,"首做",IF(B28=22,"首做",IF(R28&gt;=4.55,"P"&amp;1,IF(R28&gt;=4.10,"P"&amp;2,"P"&amp;3)))))</x:f>
        <x:v>P2</x:v>
      </x:c>
      <x:c r="B28" s="105" t="n">
        <x:v>21</x:v>
      </x:c>
      <x:c r="C28" s="52" t="str">
        <x:v>Product/Offer/ReturnPolicy 结构化数据实施</x:v>
      </x:c>
      <x:c r="D28" s="52" t="str">
        <x:v>电商增长</x:v>
      </x:c>
      <x:c r="E28" s="111" t="n">
        <x:v>100</x:v>
      </x:c>
      <x:c r="F28" s="112" t="n">
        <x:v>1</x:v>
      </x:c>
      <x:c r="G28" s="112" t="n">
        <x:v>10</x:v>
      </x:c>
      <x:c r="H28" s="111" t="n">
        <x:v>4000</x:v>
      </x:c>
      <x:c r="I28" s="111" t="n">
        <x:v>14000</x:v>
      </x:c>
      <x:c r="J28" s="111" t="n">
        <x:v>38000</x:v>
      </x:c>
      <x:c r="K28" s="113" t="n">
        <x:v>5</x:v>
      </x:c>
      <x:c r="L28" s="113" t="n">
        <x:v>4</x:v>
      </x:c>
      <x:c r="M28" s="113" t="n">
        <x:v>5</x:v>
      </x:c>
      <x:c r="N28" s="113" t="n">
        <x:v>3</x:v>
      </x:c>
      <x:c r="O28" s="113" t="n">
        <x:v>4</x:v>
      </x:c>
      <x:c r="P28" s="113" t="n">
        <x:v>5</x:v>
      </x:c>
      <x:c r="Q28" s="113" t="n">
        <x:v>5</x:v>
      </x:c>
      <x:c r="R28" s="114" t="n">
        <x:f>ROUND(K28*'评分参数'!$B$4+L28*'评分参数'!$B$5+M28*'评分参数'!$B$6+N28*'评分参数'!$B$7+O28*'评分参数'!$B$8+P28*'评分参数'!$B$9+Q28*'评分参数'!$B$10,2)</x:f>
        <x:v>4.4</x:v>
      </x:c>
      <x:c r="S28" s="52" t="str">
        <x:v>启动成本：¥0–100；报价：¥4,000–12,000/模板；维护 ¥500–1,500/月</x:v>
      </x:c>
      <x:c r="T28" s="52" t="str">
        <x:v>1 个客户为 5 URL 固定范围试点注资/支付 ¥4,000</x:v>
      </x:c>
      <x:c r="U28" s="52" t="str">
        <x:v>标记与页面不一致</x:v>
      </x:c>
      <x:c r="V28" s="52" t="str">
        <x:v>https://support.google.com/merchants/answer/13889434?hl=en-A</x:v>
      </x:c>
      <x:c r="W28" s="52" t="str">
        <x:v>methods/21-product-structured-data.md</x:v>
      </x:c>
      <x:c r="X28" s="53" t="n">
        <x:f>IF(B28=20,1,IF(B28=1,2,IF(B28=22,3,1000-R28*100+B28/1000)))</x:f>
        <x:v>560.021</x:v>
      </x:c>
    </x:row>
    <x:row r="29" ht="56" customHeight="1">
      <x:c r="A29" s="50" t="str">
        <x:f>IF(B29=20,"首做",IF(B29=1,"首做",IF(B29=22,"首做",IF(R29&gt;=4.55,"P"&amp;1,IF(R29&gt;=4.10,"P"&amp;2,"P"&amp;3)))))</x:f>
        <x:v>P2</x:v>
      </x:c>
      <x:c r="B29" s="105" t="n">
        <x:v>23</x:v>
      </x:c>
      <x:c r="C29" s="52" t="str">
        <x:v>Core Web Vitals 快修 Sprint</x:v>
      </x:c>
      <x:c r="D29" s="52" t="str">
        <x:v>网站技术服务</x:v>
      </x:c>
      <x:c r="E29" s="111" t="n">
        <x:v>150</x:v>
      </x:c>
      <x:c r="F29" s="112" t="n">
        <x:v>1</x:v>
      </x:c>
      <x:c r="G29" s="112" t="n">
        <x:v>10</x:v>
      </x:c>
      <x:c r="H29" s="111" t="n">
        <x:v>4000</x:v>
      </x:c>
      <x:c r="I29" s="111" t="n">
        <x:v>19000</x:v>
      </x:c>
      <x:c r="J29" s="111" t="n">
        <x:v>52000</x:v>
      </x:c>
      <x:c r="K29" s="113" t="n">
        <x:v>5</x:v>
      </x:c>
      <x:c r="L29" s="113" t="n">
        <x:v>4</x:v>
      </x:c>
      <x:c r="M29" s="113" t="n">
        <x:v>5</x:v>
      </x:c>
      <x:c r="N29" s="113" t="n">
        <x:v>3</x:v>
      </x:c>
      <x:c r="O29" s="113" t="n">
        <x:v>4</x:v>
      </x:c>
      <x:c r="P29" s="113" t="n">
        <x:v>5</x:v>
      </x:c>
      <x:c r="Q29" s="113" t="n">
        <x:v>5</x:v>
      </x:c>
      <x:c r="R29" s="114" t="n">
        <x:f>ROUND(K29*'评分参数'!$B$4+L29*'评分参数'!$B$5+M29*'评分参数'!$B$6+N29*'评分参数'!$B$7+O29*'评分参数'!$B$8+P29*'评分参数'!$B$9+Q29*'评分参数'!$B$10,2)</x:f>
        <x:v>4.4</x:v>
      </x:c>
      <x:c r="S29" s="52" t="str">
        <x:v>启动成本：¥0–150；报价：¥4,000–18,000/Sprint；监测 ¥500–1,500/月</x:v>
      </x:c>
      <x:c r="T29" s="52" t="str">
        <x:v>1 个客户为一个模板、5 个 URL 的 Sprint 实际注资/支付 ¥4,000；付款只验证购买意愿，不是技术通过条件</x:v>
      </x:c>
      <x:c r="U29" s="52" t="str">
        <x:v>指标变好但功能坏</x:v>
      </x:c>
      <x:c r="V29" s="52" t="str">
        <x:v>https://www.upwork.com/research/in-demand-skills-2026</x:v>
      </x:c>
      <x:c r="W29" s="52" t="str">
        <x:v>methods/23-core-web-vitals-sprint.md</x:v>
      </x:c>
      <x:c r="X29" s="53" t="n">
        <x:f>IF(B29=20,1,IF(B29=1,2,IF(B29=22,3,1000-R29*100+B29/1000)))</x:f>
        <x:v>560.023</x:v>
      </x:c>
    </x:row>
    <x:row r="30" ht="56" customHeight="1">
      <x:c r="A30" s="50" t="str">
        <x:f>IF(B30=20,"首做",IF(B30=1,"首做",IF(B30=22,"首做",IF(R30&gt;=4.55,"P"&amp;1,IF(R30&gt;=4.10,"P"&amp;2,"P"&amp;3)))))</x:f>
        <x:v>P2</x:v>
      </x:c>
      <x:c r="B30" s="105" t="n">
        <x:v>41</x:v>
      </x:c>
      <x:c r="C30" s="52" t="str">
        <x:v>Census 建筑许可热点报告</x:v>
      </x:c>
      <x:c r="D30" s="52" t="str">
        <x:v>公共数据情报</x:v>
      </x:c>
      <x:c r="E30" s="111" t="n">
        <x:v>300</x:v>
      </x:c>
      <x:c r="F30" s="112" t="n">
        <x:v>2</x:v>
      </x:c>
      <x:c r="G30" s="112" t="n">
        <x:v>14</x:v>
      </x:c>
      <x:c r="H30" s="111" t="n">
        <x:v>999</x:v>
      </x:c>
      <x:c r="I30" s="111" t="n">
        <x:v>6990</x:v>
      </x:c>
      <x:c r="J30" s="111" t="n">
        <x:v>24000</x:v>
      </x:c>
      <x:c r="K30" s="113" t="n">
        <x:v>4</x:v>
      </x:c>
      <x:c r="L30" s="113" t="n">
        <x:v>4</x:v>
      </x:c>
      <x:c r="M30" s="113" t="n">
        <x:v>5</x:v>
      </x:c>
      <x:c r="N30" s="113" t="n">
        <x:v>4</x:v>
      </x:c>
      <x:c r="O30" s="113" t="n">
        <x:v>5</x:v>
      </x:c>
      <x:c r="P30" s="113" t="n">
        <x:v>4</x:v>
      </x:c>
      <x:c r="Q30" s="113" t="n">
        <x:v>5</x:v>
      </x:c>
      <x:c r="R30" s="114" t="n">
        <x:f>ROUND(K30*'评分参数'!$B$4+L30*'评分参数'!$B$5+M30*'评分参数'!$B$6+N30*'评分参数'!$B$7+O30*'评分参数'!$B$8+P30*'评分参数'!$B$9+Q30*'评分参数'!$B$10,2)</x:f>
        <x:v>4.35</x:v>
      </x:c>
      <x:c r="S30" s="52" t="str">
        <x:v>启动成本：¥0–300；报价：¥999–4,000/报告；¥499–1,499/月</x:v>
      </x:c>
      <x:c r="T30" s="52" t="str">
        <x:v>给 5 个本地服务商一页免费样板；1 个以 ¥999 购买完整州报告</x:v>
      </x:c>
      <x:c r="U30" s="52" t="str">
        <x:v>许可数据被当作实时需求</x:v>
      </x:c>
      <x:c r="V30" s="52" t="str">
        <x:v>https://www.census.gov/construction/bps/index.html</x:v>
      </x:c>
      <x:c r="W30" s="52" t="str">
        <x:v>methods/41-building-permit-hotspots.md</x:v>
      </x:c>
      <x:c r="X30" s="53" t="n">
        <x:f>IF(B30=20,1,IF(B30=1,2,IF(B30=22,3,1000-R30*100+B30/1000)))</x:f>
        <x:v>565.041</x:v>
      </x:c>
    </x:row>
    <x:row r="31" ht="56" customHeight="1">
      <x:c r="A31" s="50" t="str">
        <x:f>IF(B31=20,"首做",IF(B31=1,"首做",IF(B31=22,"首做",IF(R31&gt;=4.55,"P"&amp;1,IF(R31&gt;=4.10,"P"&amp;2,"P"&amp;3)))))</x:f>
        <x:v>P2</x:v>
      </x:c>
      <x:c r="B31" s="105" t="n">
        <x:v>45</x:v>
      </x:c>
      <x:c r="C31" s="52" t="str">
        <x:v>创作者赞助 Media Kit 与收入 Tracker</x:v>
      </x:c>
      <x:c r="D31" s="52" t="str">
        <x:v>数字产品</x:v>
      </x:c>
      <x:c r="E31" s="111" t="n">
        <x:v>300</x:v>
      </x:c>
      <x:c r="F31" s="112" t="n">
        <x:v>1</x:v>
      </x:c>
      <x:c r="G31" s="112" t="n">
        <x:v>14</x:v>
      </x:c>
      <x:c r="H31" s="111" t="n">
        <x:v>569</x:v>
      </x:c>
      <x:c r="I31" s="111" t="n">
        <x:v>4063</x:v>
      </x:c>
      <x:c r="J31" s="111" t="n">
        <x:v>15189</x:v>
      </x:c>
      <x:c r="K31" s="113" t="n">
        <x:v>4</x:v>
      </x:c>
      <x:c r="L31" s="113" t="n">
        <x:v>5</x:v>
      </x:c>
      <x:c r="M31" s="113" t="n">
        <x:v>5</x:v>
      </x:c>
      <x:c r="N31" s="113" t="n">
        <x:v>3</x:v>
      </x:c>
      <x:c r="O31" s="113" t="n">
        <x:v>5</x:v>
      </x:c>
      <x:c r="P31" s="113" t="n">
        <x:v>4</x:v>
      </x:c>
      <x:c r="Q31" s="113" t="n">
        <x:v>5</x:v>
      </x:c>
      <x:c r="R31" s="114" t="n">
        <x:f>ROUND(K31*'评分参数'!$B$4+L31*'评分参数'!$B$5+M31*'评分参数'!$B$6+N31*'评分参数'!$B$7+O31*'评分参数'!$B$8+P31*'评分参数'!$B$9+Q31*'评分参数'!$B$10,2)</x:f>
        <x:v>4.35</x:v>
      </x:c>
      <x:c r="S31" s="52" t="str">
        <x:v>启动成本：¥0–300；报价：Patreon 基础 US$19；专业 US$59；定制服务 ¥1,500–5,000</x:v>
      </x:c>
      <x:c r="T31" s="52" t="str">
        <x:v>在一个真实创作者社群展示 6 页预览；5 人在 Patreon 各付 US$19 founding price 才完成扩展包</x:v>
      </x:c>
      <x:c r="U31" s="52" t="str">
        <x:v>把建议费率当收益保证</x:v>
      </x:c>
      <x:c r="V31" s="52" t="str">
        <x:v>https://www.canva.com/newsroom/news/visual-economy-report-2024/</x:v>
      </x:c>
      <x:c r="W31" s="52" t="str">
        <x:v>methods/45-creator-sponsorship-kit.md</x:v>
      </x:c>
      <x:c r="X31" s="53" t="n">
        <x:f>IF(B31=20,1,IF(B31=1,2,IF(B31=22,3,1000-R31*100+B31/1000)))</x:f>
        <x:v>565.045</x:v>
      </x:c>
    </x:row>
    <x:row r="32" ht="56" customHeight="1">
      <x:c r="A32" s="50" t="str">
        <x:f>IF(B32=20,"首做",IF(B32=1,"首做",IF(B32=22,"首做",IF(R32&gt;=4.55,"P"&amp;1,IF(R32&gt;=4.10,"P"&amp;2,"P"&amp;3)))))</x:f>
        <x:v>P2</x:v>
      </x:c>
      <x:c r="B32" s="105" t="n">
        <x:v>37</x:v>
      </x:c>
      <x:c r="C32" s="52" t="str">
        <x:v>Companies House 新注册企业 SIC 垂直线索</x:v>
      </x:c>
      <x:c r="D32" s="52" t="str">
        <x:v>公共数据情报</x:v>
      </x:c>
      <x:c r="E32" s="111" t="n">
        <x:v>300</x:v>
      </x:c>
      <x:c r="F32" s="112" t="n">
        <x:v>2</x:v>
      </x:c>
      <x:c r="G32" s="112" t="n">
        <x:v>10</x:v>
      </x:c>
      <x:c r="H32" s="111" t="n">
        <x:v>699</x:v>
      </x:c>
      <x:c r="I32" s="111" t="n">
        <x:v>6990</x:v>
      </x:c>
      <x:c r="J32" s="111" t="n">
        <x:v>24000</x:v>
      </x:c>
      <x:c r="K32" s="113" t="n">
        <x:v>4</x:v>
      </x:c>
      <x:c r="L32" s="113" t="n">
        <x:v>4</x:v>
      </x:c>
      <x:c r="M32" s="113" t="n">
        <x:v>5</x:v>
      </x:c>
      <x:c r="N32" s="113" t="n">
        <x:v>5</x:v>
      </x:c>
      <x:c r="O32" s="113" t="n">
        <x:v>5</x:v>
      </x:c>
      <x:c r="P32" s="113" t="n">
        <x:v>4</x:v>
      </x:c>
      <x:c r="Q32" s="113" t="n">
        <x:v>3</x:v>
      </x:c>
      <x:c r="R32" s="114" t="n">
        <x:f>ROUND(K32*'评分参数'!$B$4+L32*'评分参数'!$B$5+M32*'评分参数'!$B$6+N32*'评分参数'!$B$7+O32*'评分参数'!$B$8+P32*'评分参数'!$B$9+Q32*'评分参数'!$B$10,2)</x:f>
        <x:v>4.3</x:v>
      </x:c>
      <x:c r="S32" s="52" t="str">
        <x:v>启动成本：¥0–300；报价：¥499–1,499/月；定制 ¥1,000–3,000</x:v>
      </x:c>
      <x:c r="T32" s="52" t="str">
        <x:v>50 条样本公司级准确率至少 95%；找 3 个服务商，1 个预付 ¥699/月</x:v>
      </x:c>
      <x:c r="U32" s="52" t="str">
        <x:v>公开数据被当作已验证事实</x:v>
      </x:c>
      <x:c r="V32" s="52" t="str">
        <x:v>https://developer.company-information.service.gov.uk/get-started</x:v>
      </x:c>
      <x:c r="W32" s="52" t="str">
        <x:v>methods/37-companies-house-leads.md</x:v>
      </x:c>
      <x:c r="X32" s="53" t="n">
        <x:f>IF(B32=20,1,IF(B32=1,2,IF(B32=22,3,1000-R32*100+B32/1000)))</x:f>
        <x:v>570.037</x:v>
      </x:c>
    </x:row>
    <x:row r="33" ht="56" customHeight="1">
      <x:c r="A33" s="50" t="str">
        <x:f>IF(B33=20,"首做",IF(B33=1,"首做",IF(B33=22,"首做",IF(R33&gt;=4.55,"P"&amp;1,IF(R33&gt;=4.10,"P"&amp;2,"P"&amp;3)))))</x:f>
        <x:v>P2</x:v>
      </x:c>
      <x:c r="B33" s="105" t="n">
        <x:v>5</x:v>
      </x:c>
      <x:c r="C33" s="52" t="str">
        <x:v>网站 FAQ/RAG 客服机器人</x:v>
      </x:c>
      <x:c r="D33" s="52" t="str">
        <x:v>AI与业务自动化</x:v>
      </x:c>
      <x:c r="E33" s="111" t="n">
        <x:v>800</x:v>
      </x:c>
      <x:c r="F33" s="112" t="n">
        <x:v>2</x:v>
      </x:c>
      <x:c r="G33" s="112" t="n">
        <x:v>14</x:v>
      </x:c>
      <x:c r="H33" s="111" t="n">
        <x:v>5000</x:v>
      </x:c>
      <x:c r="I33" s="111" t="n">
        <x:v>26000</x:v>
      </x:c>
      <x:c r="J33" s="111" t="n">
        <x:v>72000</x:v>
      </x:c>
      <x:c r="K33" s="113" t="n">
        <x:v>5</x:v>
      </x:c>
      <x:c r="L33" s="113" t="n">
        <x:v>3</x:v>
      </x:c>
      <x:c r="M33" s="113" t="n">
        <x:v>4</x:v>
      </x:c>
      <x:c r="N33" s="113" t="n">
        <x:v>5</x:v>
      </x:c>
      <x:c r="O33" s="113" t="n">
        <x:v>5</x:v>
      </x:c>
      <x:c r="P33" s="113" t="n">
        <x:v>4</x:v>
      </x:c>
      <x:c r="Q33" s="113" t="n">
        <x:v>3</x:v>
      </x:c>
      <x:c r="R33" s="114" t="n">
        <x:f>ROUND(K33*'评分参数'!$B$4+L33*'评分参数'!$B$5+M33*'评分参数'!$B$6+N33*'评分参数'!$B$7+O33*'评分参数'!$B$8+P33*'评分参数'!$B$9+Q33*'评分参数'!$B$10,2)</x:f>
        <x:v>4.25</x:v>
      </x:c>
      <x:c r="S33" s="52" t="str">
        <x:v>启动成本：¥100–800；报价：设置 ¥6,000–18,000；维护 ¥1,500–5,000/月</x:v>
      </x:c>
      <x:c r="T33" s="52" t="str">
        <x:v>1 个客户为 20–50 份文档和 50 问固定范围试点实际注资/支付 ¥5,000；付款只验证购买意愿，不是技术通过条件</x:v>
      </x:c>
      <x:c r="U33" s="52" t="str">
        <x:v>幻觉政策或价格</x:v>
      </x:c>
      <x:c r="V33" s="52" t="str">
        <x:v>https://www.census.gov/library/stories/2026/05/ai-use-businesses.html</x:v>
      </x:c>
      <x:c r="W33" s="52" t="str">
        <x:v>methods/05-faq-rag-bot.md</x:v>
      </x:c>
      <x:c r="X33" s="53" t="n">
        <x:f>IF(B33=20,1,IF(B33=1,2,IF(B33=22,3,1000-R33*100+B33/1000)))</x:f>
        <x:v>575.005</x:v>
      </x:c>
    </x:row>
    <x:row r="34" ht="56" customHeight="1">
      <x:c r="A34" s="50" t="str">
        <x:f>IF(B34=20,"首做",IF(B34=1,"首做",IF(B34=22,"首做",IF(R34&gt;=4.55,"P"&amp;1,IF(R34&gt;=4.10,"P"&amp;2,"P"&amp;3)))))</x:f>
        <x:v>P2</x:v>
      </x:c>
      <x:c r="B34" s="105" t="n">
        <x:v>7</x:v>
      </x:c>
      <x:c r="C34" s="52" t="str">
        <x:v>提案与报价草稿生成器</x:v>
      </x:c>
      <x:c r="D34" s="52" t="str">
        <x:v>AI与业务自动化</x:v>
      </x:c>
      <x:c r="E34" s="111" t="n">
        <x:v>300</x:v>
      </x:c>
      <x:c r="F34" s="112" t="n">
        <x:v>1</x:v>
      </x:c>
      <x:c r="G34" s="112" t="n">
        <x:v>7</x:v>
      </x:c>
      <x:c r="H34" s="111" t="n">
        <x:v>3000</x:v>
      </x:c>
      <x:c r="I34" s="111" t="n">
        <x:v>13500</x:v>
      </x:c>
      <x:c r="J34" s="111" t="n">
        <x:v>36000</x:v>
      </x:c>
      <x:c r="K34" s="113" t="n">
        <x:v>4</x:v>
      </x:c>
      <x:c r="L34" s="113" t="n">
        <x:v>5</x:v>
      </x:c>
      <x:c r="M34" s="113" t="n">
        <x:v>5</x:v>
      </x:c>
      <x:c r="N34" s="113" t="n">
        <x:v>3</x:v>
      </x:c>
      <x:c r="O34" s="113" t="n">
        <x:v>5</x:v>
      </x:c>
      <x:c r="P34" s="113" t="n">
        <x:v>4</x:v>
      </x:c>
      <x:c r="Q34" s="113" t="n">
        <x:v>4</x:v>
      </x:c>
      <x:c r="R34" s="114" t="n">
        <x:f>ROUND(K34*'评分参数'!$B$4+L34*'评分参数'!$B$5+M34*'评分参数'!$B$6+N34*'评分参数'!$B$7+O34*'评分参数'!$B$8+P34*'评分参数'!$B$9+Q34*'评分参数'!$B$10,2)</x:f>
        <x:v>4.25</x:v>
      </x:c>
      <x:c r="S34" s="52" t="str">
        <x:v>启动成本：¥0–300；报价：设置 ¥3,500–10,000；维护 ¥600–2,000/月</x:v>
      </x:c>
      <x:c r="T34" s="52" t="str">
        <x:v>1 个客户为 10 份提案回放试点实际注资/支付 ¥3,000；付款只验证购买意愿，不是技术通过条件</x:v>
      </x:c>
      <x:c r="U34" s="52" t="str">
        <x:v>AI 擅自承诺价格或工期</x:v>
      </x:c>
      <x:c r="V34" s="52" t="str">
        <x:v>https://www.census.gov/library/stories/2026/05/ai-use-businesses.html</x:v>
      </x:c>
      <x:c r="W34" s="52" t="str">
        <x:v>methods/07-proposal-generator.md</x:v>
      </x:c>
      <x:c r="X34" s="53" t="n">
        <x:f>IF(B34=20,1,IF(B34=1,2,IF(B34=22,3,1000-R34*100+B34/1000)))</x:f>
        <x:v>575.007</x:v>
      </x:c>
    </x:row>
    <x:row r="35" ht="56" customHeight="1">
      <x:c r="A35" s="50" t="str">
        <x:f>IF(B35=20,"首做",IF(B35=1,"首做",IF(B35=22,"首做",IF(R35&gt;=4.55,"P"&amp;1,IF(R35&gt;=4.10,"P"&amp;2,"P"&amp;3)))))</x:f>
        <x:v>P2</x:v>
      </x:c>
      <x:c r="B35" s="105" t="n">
        <x:v>9</x:v>
      </x:c>
      <x:c r="C35" s="52" t="str">
        <x:v>预约提醒与爽约降低工作流</x:v>
      </x:c>
      <x:c r="D35" s="52" t="str">
        <x:v>AI与业务自动化</x:v>
      </x:c>
      <x:c r="E35" s="111" t="n">
        <x:v>200</x:v>
      </x:c>
      <x:c r="F35" s="112" t="n">
        <x:v>1</x:v>
      </x:c>
      <x:c r="G35" s="112" t="n">
        <x:v>7</x:v>
      </x:c>
      <x:c r="H35" s="111" t="n">
        <x:v>1800</x:v>
      </x:c>
      <x:c r="I35" s="111" t="n">
        <x:v>8500</x:v>
      </x:c>
      <x:c r="J35" s="111" t="n">
        <x:v>22000</x:v>
      </x:c>
      <x:c r="K35" s="113" t="n">
        <x:v>4</x:v>
      </x:c>
      <x:c r="L35" s="113" t="n">
        <x:v>5</x:v>
      </x:c>
      <x:c r="M35" s="113" t="n">
        <x:v>5</x:v>
      </x:c>
      <x:c r="N35" s="113" t="n">
        <x:v>4</x:v>
      </x:c>
      <x:c r="O35" s="113" t="n">
        <x:v>4</x:v>
      </x:c>
      <x:c r="P35" s="113" t="n">
        <x:v>4</x:v>
      </x:c>
      <x:c r="Q35" s="113" t="n">
        <x:v>4</x:v>
      </x:c>
      <x:c r="R35" s="114" t="n">
        <x:f>ROUND(K35*'评分参数'!$B$4+L35*'评分参数'!$B$5+M35*'评分参数'!$B$6+N35*'评分参数'!$B$7+O35*'评分参数'!$B$8+P35*'评分参数'!$B$9+Q35*'评分参数'!$B$10,2)</x:f>
        <x:v>4.25</x:v>
      </x:c>
      <x:c r="S35" s="52" t="str">
        <x:v>启动成本：¥0–200；报价：设置 ¥2,000–5,000；维护 ¥500–1,500/月</x:v>
      </x:c>
      <x:c r="T35" s="52" t="str">
        <x:v>1 个客户为 1 个 event type、最多 50 个预约的试点实际注资/支付 ¥1,800；付款只验证购买意愿，不是技术通过条件</x:v>
      </x:c>
      <x:c r="U35" s="52" t="str">
        <x:v>把季节变化误当提升</x:v>
      </x:c>
      <x:c r="V35" s="52" t="str">
        <x:v>https://advocacy.sba.gov/wp-content/uploads/2026/02/FINAL_FAQsAboutSmallBusiness_2026_012826.pdf</x:v>
      </x:c>
      <x:c r="W35" s="52" t="str">
        <x:v>methods/09-no-show-reduction.md</x:v>
      </x:c>
      <x:c r="X35" s="53" t="n">
        <x:f>IF(B35=20,1,IF(B35=1,2,IF(B35=22,3,1000-R35*100+B35/1000)))</x:f>
        <x:v>575.009</x:v>
      </x:c>
    </x:row>
    <x:row r="36" ht="56" customHeight="1">
      <x:c r="A36" s="50" t="str">
        <x:f>IF(B36=20,"首做",IF(B36=1,"首做",IF(B36=22,"首做",IF(R36&gt;=4.55,"P"&amp;1,IF(R36&gt;=4.10,"P"&amp;2,"P"&amp;3)))))</x:f>
        <x:v>P2</x:v>
      </x:c>
      <x:c r="B36" s="105" t="n">
        <x:v>12</x:v>
      </x:c>
      <x:c r="C36" s="52" t="str">
        <x:v>PDF/邮件订单结构化入库</x:v>
      </x:c>
      <x:c r="D36" s="52" t="str">
        <x:v>AI与业务自动化</x:v>
      </x:c>
      <x:c r="E36" s="111" t="n">
        <x:v>600</x:v>
      </x:c>
      <x:c r="F36" s="112" t="n">
        <x:v>2</x:v>
      </x:c>
      <x:c r="G36" s="112" t="n">
        <x:v>14</x:v>
      </x:c>
      <x:c r="H36" s="111" t="n">
        <x:v>5000</x:v>
      </x:c>
      <x:c r="I36" s="111" t="n">
        <x:v>26000</x:v>
      </x:c>
      <x:c r="J36" s="111" t="n">
        <x:v>70000</x:v>
      </x:c>
      <x:c r="K36" s="113" t="n">
        <x:v>5</x:v>
      </x:c>
      <x:c r="L36" s="113" t="n">
        <x:v>3</x:v>
      </x:c>
      <x:c r="M36" s="113" t="n">
        <x:v>4</x:v>
      </x:c>
      <x:c r="N36" s="113" t="n">
        <x:v>5</x:v>
      </x:c>
      <x:c r="O36" s="113" t="n">
        <x:v>5</x:v>
      </x:c>
      <x:c r="P36" s="113" t="n">
        <x:v>4</x:v>
      </x:c>
      <x:c r="Q36" s="113" t="n">
        <x:v>3</x:v>
      </x:c>
      <x:c r="R36" s="114" t="n">
        <x:f>ROUND(K36*'评分参数'!$B$4+L36*'评分参数'!$B$5+M36*'评分参数'!$B$6+N36*'评分参数'!$B$7+O36*'评分参数'!$B$8+P36*'评分参数'!$B$9+Q36*'评分参数'!$B$10,2)</x:f>
        <x:v>4.25</x:v>
      </x:c>
      <x:c r="S36" s="52" t="str">
        <x:v>启动成本：¥100–600；报价：设置 ¥6,000–18,000；¥0.5–3/文档或 ¥2,000–8,000/月</x:v>
      </x:c>
      <x:c r="T36" s="52" t="str">
        <x:v>1 个客户为 100 份脱敏文档离线试点实际注资/支付 ¥5,000；付款只验证购买意愿，不是技术通过条件</x:v>
      </x:c>
      <x:c r="U36" s="52" t="str">
        <x:v>手写或版式变化导致错录</x:v>
      </x:c>
      <x:c r="V36" s="52" t="str">
        <x:v>https://www.upwork.com/research/in-demand-skills-2026</x:v>
      </x:c>
      <x:c r="W36" s="52" t="str">
        <x:v>methods/12-document-extraction.md</x:v>
      </x:c>
      <x:c r="X36" s="53" t="n">
        <x:f>IF(B36=20,1,IF(B36=1,2,IF(B36=22,3,1000-R36*100+B36/1000)))</x:f>
        <x:v>575.012</x:v>
      </x:c>
    </x:row>
    <x:row r="37" ht="56" customHeight="1">
      <x:c r="A37" s="50" t="str">
        <x:f>IF(B37=20,"首做",IF(B37=1,"首做",IF(B37=22,"首做",IF(R37&gt;=4.55,"P"&amp;1,IF(R37&gt;=4.10,"P"&amp;2,"P"&amp;3)))))</x:f>
        <x:v>P2</x:v>
      </x:c>
      <x:c r="B37" s="105" t="n">
        <x:v>13</x:v>
      </x:c>
      <x:c r="C37" s="52" t="str">
        <x:v>NPS/CSAT/评论主题洞察月报</x:v>
      </x:c>
      <x:c r="D37" s="52" t="str">
        <x:v>数据与运营服务</x:v>
      </x:c>
      <x:c r="E37" s="111" t="n">
        <x:v>300</x:v>
      </x:c>
      <x:c r="F37" s="112" t="n">
        <x:v>2</x:v>
      </x:c>
      <x:c r="G37" s="112" t="n">
        <x:v>10</x:v>
      </x:c>
      <x:c r="H37" s="111" t="n">
        <x:v>2500</x:v>
      </x:c>
      <x:c r="I37" s="111" t="n">
        <x:v>14500</x:v>
      </x:c>
      <x:c r="J37" s="111" t="n">
        <x:v>40000</x:v>
      </x:c>
      <x:c r="K37" s="113" t="n">
        <x:v>4</x:v>
      </x:c>
      <x:c r="L37" s="113" t="n">
        <x:v>4</x:v>
      </x:c>
      <x:c r="M37" s="113" t="n">
        <x:v>5</x:v>
      </x:c>
      <x:c r="N37" s="113" t="n">
        <x:v>5</x:v>
      </x:c>
      <x:c r="O37" s="113" t="n">
        <x:v>4</x:v>
      </x:c>
      <x:c r="P37" s="113" t="n">
        <x:v>4</x:v>
      </x:c>
      <x:c r="Q37" s="113" t="n">
        <x:v>4</x:v>
      </x:c>
      <x:c r="R37" s="114" t="n">
        <x:f>ROUND(K37*'评分参数'!$B$4+L37*'评分参数'!$B$5+M37*'评分参数'!$B$6+N37*'评分参数'!$B$7+O37*'评分参数'!$B$8+P37*'评分参数'!$B$9+Q37*'评分参数'!$B$10,2)</x:f>
        <x:v>4.25</x:v>
      </x:c>
      <x:c r="S37" s="52" t="str">
        <x:v>启动成本：¥0–300；报价：首报 ¥3,000–10,000；持续 ¥1,500–5,000/月</x:v>
      </x:c>
      <x:c r="T37" s="52" t="str">
        <x:v>1 个客户为首月反馈洞察报告实际注资/支付 ¥2,500；付款只验证购买意愿，不是技术通过条件</x:v>
      </x:c>
      <x:c r="U37" s="52" t="str">
        <x:v>情感标签被当成事实</x:v>
      </x:c>
      <x:c r="V37" s="52" t="str">
        <x:v>https://www.upwork.com/research/in-demand-skills-2026</x:v>
      </x:c>
      <x:c r="W37" s="52" t="str">
        <x:v>methods/13-feedback-insights.md</x:v>
      </x:c>
      <x:c r="X37" s="53" t="n">
        <x:f>IF(B37=20,1,IF(B37=1,2,IF(B37=22,3,1000-R37*100+B37/1000)))</x:f>
        <x:v>575.013</x:v>
      </x:c>
    </x:row>
    <x:row r="38" ht="56" customHeight="1">
      <x:c r="A38" s="50" t="str">
        <x:f>IF(B38=20,"首做",IF(B38=1,"首做",IF(B38=22,"首做",IF(R38&gt;=4.55,"P"&amp;1,IF(R38&gt;=4.10,"P"&amp;2,"P"&amp;3)))))</x:f>
        <x:v>P2</x:v>
      </x:c>
      <x:c r="B38" s="105" t="n">
        <x:v>31</x:v>
      </x:c>
      <x:c r="C38" s="52" t="str">
        <x:v>SAM.gov 垂直投标提醒与 Bid/No-Bid 摘要</x:v>
      </x:c>
      <x:c r="D38" s="52" t="str">
        <x:v>公共数据情报</x:v>
      </x:c>
      <x:c r="E38" s="111" t="n">
        <x:v>500</x:v>
      </x:c>
      <x:c r="F38" s="112" t="n">
        <x:v>2</x:v>
      </x:c>
      <x:c r="G38" s="112" t="n">
        <x:v>10</x:v>
      </x:c>
      <x:c r="H38" s="111" t="n">
        <x:v>699</x:v>
      </x:c>
      <x:c r="I38" s="111" t="n">
        <x:v>6990</x:v>
      </x:c>
      <x:c r="J38" s="111" t="n">
        <x:v>24900</x:v>
      </x:c>
      <x:c r="K38" s="113" t="n">
        <x:v>4</x:v>
      </x:c>
      <x:c r="L38" s="113" t="n">
        <x:v>4</x:v>
      </x:c>
      <x:c r="M38" s="113" t="n">
        <x:v>5</x:v>
      </x:c>
      <x:c r="N38" s="113" t="n">
        <x:v>5</x:v>
      </x:c>
      <x:c r="O38" s="113" t="n">
        <x:v>5</x:v>
      </x:c>
      <x:c r="P38" s="113" t="n">
        <x:v>3</x:v>
      </x:c>
      <x:c r="Q38" s="113" t="n">
        <x:v>4</x:v>
      </x:c>
      <x:c r="R38" s="114" t="n">
        <x:f>ROUND(K38*'评分参数'!$B$4+L38*'评分参数'!$B$5+M38*'评分参数'!$B$6+N38*'评分参数'!$B$7+O38*'评分参数'!$B$8+P38*'评分参数'!$B$9+Q38*'评分参数'!$B$10,2)</x:f>
        <x:v>4.25</x:v>
      </x:c>
      <x:c r="S38" s="52" t="str">
        <x:v>启动成本：¥0–500；报价：¥399–1,499/月；定制报告 ¥1,500–3,500</x:v>
      </x:c>
      <x:c r="T38" s="52" t="str">
        <x:v>手工跑 7 天并让 3 个目标客户看样报；至少 1 人预付 ¥699/月，否则换垂直</x:v>
      </x:c>
      <x:c r="U38" s="52" t="str">
        <x:v>把摘要当官方状态</x:v>
      </x:c>
      <x:c r="V38" s="52" t="str">
        <x:v>https://open.gsa.gov/api/get-opportunities-public-api/</x:v>
      </x:c>
      <x:c r="W38" s="52" t="str">
        <x:v>methods/31-sam-bid-alerts.md</x:v>
      </x:c>
      <x:c r="X38" s="53" t="n">
        <x:f>IF(B38=20,1,IF(B38=1,2,IF(B38=22,3,1000-R38*100+B38/1000)))</x:f>
        <x:v>575.031</x:v>
      </x:c>
    </x:row>
    <x:row r="39" ht="56" customHeight="1">
      <x:c r="A39" s="50" t="str">
        <x:f>IF(B39=20,"首做",IF(B39=1,"首做",IF(B39=22,"首做",IF(R39&gt;=4.55,"P"&amp;1,IF(R39&gt;=4.10,"P"&amp;2,"P"&amp;3)))))</x:f>
        <x:v>P2</x:v>
      </x:c>
      <x:c r="B39" s="105" t="n">
        <x:v>38</x:v>
      </x:c>
      <x:c r="C39" s="52" t="str">
        <x:v>openFDA 食品召回关键词监控</x:v>
      </x:c>
      <x:c r="D39" s="52" t="str">
        <x:v>公共数据情报</x:v>
      </x:c>
      <x:c r="E39" s="111" t="n">
        <x:v>700</x:v>
      </x:c>
      <x:c r="F39" s="112" t="n">
        <x:v>2</x:v>
      </x:c>
      <x:c r="G39" s="112" t="n">
        <x:v>14</x:v>
      </x:c>
      <x:c r="H39" s="111" t="n">
        <x:v>1500</x:v>
      </x:c>
      <x:c r="I39" s="111" t="n">
        <x:v>9500</x:v>
      </x:c>
      <x:c r="J39" s="111" t="n">
        <x:v>32000</x:v>
      </x:c>
      <x:c r="K39" s="113" t="n">
        <x:v>5</x:v>
      </x:c>
      <x:c r="L39" s="113" t="n">
        <x:v>3</x:v>
      </x:c>
      <x:c r="M39" s="113" t="n">
        <x:v>4</x:v>
      </x:c>
      <x:c r="N39" s="113" t="n">
        <x:v>5</x:v>
      </x:c>
      <x:c r="O39" s="113" t="n">
        <x:v>5</x:v>
      </x:c>
      <x:c r="P39" s="113" t="n">
        <x:v>4</x:v>
      </x:c>
      <x:c r="Q39" s="113" t="n">
        <x:v>3</x:v>
      </x:c>
      <x:c r="R39" s="114" t="n">
        <x:f>ROUND(K39*'评分参数'!$B$4+L39*'评分参数'!$B$5+M39*'评分参数'!$B$6+N39*'评分参数'!$B$7+O39*'评分参数'!$B$8+P39*'评分参数'!$B$9+Q39*'评分参数'!$B$10,2)</x:f>
        <x:v>4.25</x:v>
      </x:c>
      <x:c r="S39" s="52" t="str">
        <x:v>启动成本：¥100–700；报价：审计 ¥1,500–5,000；监控 ¥699–2,999/月</x:v>
      </x:c>
      <x:c r="T39" s="52" t="str">
        <x:v>30 条预定义分层金标中 10 条已知相关全部召回，精确率有记录且所有候选 100% 回链；1 客户付 ¥1,500 审计费</x:v>
      </x:c>
      <x:c r="U39" s="52" t="str">
        <x:v>模糊匹配造成恐慌或漏报</x:v>
      </x:c>
      <x:c r="V39" s="52" t="str">
        <x:v>https://open.fda.gov/apis/authentication/</x:v>
      </x:c>
      <x:c r="W39" s="52" t="str">
        <x:v>methods/38-openfda-food-recall-monitor.md</x:v>
      </x:c>
      <x:c r="X39" s="53" t="n">
        <x:f>IF(B39=20,1,IF(B39=1,2,IF(B39=22,3,1000-R39*100+B39/1000)))</x:f>
        <x:v>575.038</x:v>
      </x:c>
    </x:row>
    <x:row r="40" ht="56" customHeight="1">
      <x:c r="A40" s="50" t="str">
        <x:f>IF(B40=20,"首做",IF(B40=1,"首做",IF(B40=22,"首做",IF(R40&gt;=4.55,"P"&amp;1,IF(R40&gt;=4.10,"P"&amp;2,"P"&amp;3)))))</x:f>
        <x:v>P2</x:v>
      </x:c>
      <x:c r="B40" s="105" t="n">
        <x:v>49</x:v>
      </x:c>
      <x:c r="C40" s="52" t="str">
        <x:v>Patreon Shopify 本地化与无障碍周报</x:v>
      </x:c>
      <x:c r="D40" s="52" t="str">
        <x:v>数字产品</x:v>
      </x:c>
      <x:c r="E40" s="111" t="n">
        <x:v>300</x:v>
      </x:c>
      <x:c r="F40" s="112" t="n">
        <x:v>2</x:v>
      </x:c>
      <x:c r="G40" s="112" t="n">
        <x:v>14</x:v>
      </x:c>
      <x:c r="H40" s="111" t="n">
        <x:v>264</x:v>
      </x:c>
      <x:c r="I40" s="111" t="n">
        <x:v>2762</x:v>
      </x:c>
      <x:c r="J40" s="111" t="n">
        <x:v>8813</x:v>
      </x:c>
      <x:c r="K40" s="113" t="n">
        <x:v>4</x:v>
      </x:c>
      <x:c r="L40" s="113" t="n">
        <x:v>4</x:v>
      </x:c>
      <x:c r="M40" s="113" t="n">
        <x:v>5</x:v>
      </x:c>
      <x:c r="N40" s="113" t="n">
        <x:v>4</x:v>
      </x:c>
      <x:c r="O40" s="113" t="n">
        <x:v>5</x:v>
      </x:c>
      <x:c r="P40" s="113" t="n">
        <x:v>4</x:v>
      </x:c>
      <x:c r="Q40" s="113" t="n">
        <x:v>4</x:v>
      </x:c>
      <x:c r="R40" s="114" t="n">
        <x:f>ROUND(K40*'评分参数'!$B$4+L40*'评分参数'!$B$5+M40*'评分参数'!$B$6+N40*'评分参数'!$B$7+O40*'评分参数'!$B$8+P40*'评分参数'!$B$9+Q40*'评分参数'!$B$10,2)</x:f>
        <x:v>4.25</x:v>
      </x:c>
      <x:c r="S40" s="52" t="str">
        <x:v>启动成本：¥0–300；报价：个人 US$9/月；代理商 US$39/月；人民币只作 US$1=¥7 的模型换算</x:v>
      </x:c>
      <x:c r="T40" s="52" t="str">
        <x:v>发布 2 期免费样报；5 个真实成员在 Patreon 各付 US$9/月才继续 8 周</x:v>
      </x:c>
      <x:c r="U40" s="52" t="str">
        <x:v>转载付费内容或写成法律意见</x:v>
      </x:c>
      <x:c r="V40" s="52" t="str">
        <x:v>https://help.shopify.com/en/manual/international/translate-adapt-app</x:v>
      </x:c>
      <x:c r="W40" s="52" t="str">
        <x:v>methods/49-patreon-shopify-digest.md</x:v>
      </x:c>
      <x:c r="X40" s="53" t="n">
        <x:f>IF(B40=20,1,IF(B40=1,2,IF(B40=22,3,1000-R40*100+B40/1000)))</x:f>
        <x:v>575.049</x:v>
      </x:c>
    </x:row>
    <x:row r="41" ht="56" customHeight="1">
      <x:c r="A41" s="50" t="str">
        <x:f>IF(B41=20,"首做",IF(B41=1,"首做",IF(B41=22,"首做",IF(R41&gt;=4.55,"P"&amp;1,IF(R41&gt;=4.10,"P"&amp;2,"P"&amp;3)))))</x:f>
        <x:v>P2</x:v>
      </x:c>
      <x:c r="B41" s="105" t="n">
        <x:v>30</x:v>
      </x:c>
      <x:c r="C41" s="52" t="str">
        <x:v>小型网站 WCAG 2.2 A/AA 重点项审计与修复 Sprint</x:v>
      </x:c>
      <x:c r="D41" s="52" t="str">
        <x:v>网站技术服务</x:v>
      </x:c>
      <x:c r="E41" s="111" t="n">
        <x:v>300</x:v>
      </x:c>
      <x:c r="F41" s="112" t="n">
        <x:v>2</x:v>
      </x:c>
      <x:c r="G41" s="112" t="n">
        <x:v>14</x:v>
      </x:c>
      <x:c r="H41" s="111" t="n">
        <x:v>5000</x:v>
      </x:c>
      <x:c r="I41" s="111" t="n">
        <x:v>20000</x:v>
      </x:c>
      <x:c r="J41" s="111" t="n">
        <x:v>55000</x:v>
      </x:c>
      <x:c r="K41" s="113" t="n">
        <x:v>5</x:v>
      </x:c>
      <x:c r="L41" s="113" t="n">
        <x:v>4</x:v>
      </x:c>
      <x:c r="M41" s="113" t="n">
        <x:v>5</x:v>
      </x:c>
      <x:c r="N41" s="113" t="n">
        <x:v>3</x:v>
      </x:c>
      <x:c r="O41" s="113" t="n">
        <x:v>4</x:v>
      </x:c>
      <x:c r="P41" s="113" t="n">
        <x:v>4</x:v>
      </x:c>
      <x:c r="Q41" s="113" t="n">
        <x:v>4</x:v>
      </x:c>
      <x:c r="R41" s="114" t="n">
        <x:f>ROUND(K41*'评分参数'!$B$4+L41*'评分参数'!$B$5+M41*'评分参数'!$B$6+N41*'评分参数'!$B$7+O41*'评分参数'!$B$8+P41*'评分参数'!$B$9+Q41*'评分参数'!$B$10,2)</x:f>
        <x:v>4.15</x:v>
      </x:c>
      <x:c r="S41" s="52" t="str">
        <x:v>启动成本：¥0–300；报价：¥5,000–20,000/Sprint；复检 ¥1,000–3,000</x:v>
      </x:c>
      <x:c r="T41" s="52" t="str">
        <x:v>1 个客户为 5 页重点项固定范围试点注资/支付 ¥5,000</x:v>
      </x:c>
      <x:c r="U41" s="52" t="str">
        <x:v>自动扫描被误称为合规</x:v>
      </x:c>
      <x:c r="V41" s="52" t="str">
        <x:v>https://commission.europa.eu/news-and-media/news/eu-becomes-more-accessible-all-2025-07-31_en</x:v>
      </x:c>
      <x:c r="W41" s="52" t="str">
        <x:v>methods/30-accessibility-audit-fix.md</x:v>
      </x:c>
      <x:c r="X41" s="53" t="n">
        <x:f>IF(B41=20,1,IF(B41=1,2,IF(B41=22,3,1000-R41*100+B41/1000)))</x:f>
        <x:v>585.03</x:v>
      </x:c>
    </x:row>
    <x:row r="42" ht="56" customHeight="1">
      <x:c r="A42" s="50" t="str">
        <x:f>IF(B42=20,"首做",IF(B42=1,"首做",IF(B42=22,"首做",IF(R42&gt;=4.55,"P"&amp;1,IF(R42&gt;=4.10,"P"&amp;2,"P"&amp;3)))))</x:f>
        <x:v>P2</x:v>
      </x:c>
      <x:c r="B42" s="105" t="n">
        <x:v>34</x:v>
      </x:c>
      <x:c r="C42" s="52" t="str">
        <x:v>TED 欧盟招标中文垂直简报</x:v>
      </x:c>
      <x:c r="D42" s="52" t="str">
        <x:v>公共数据情报</x:v>
      </x:c>
      <x:c r="E42" s="111" t="n">
        <x:v>600</x:v>
      </x:c>
      <x:c r="F42" s="112" t="n">
        <x:v>2</x:v>
      </x:c>
      <x:c r="G42" s="112" t="n">
        <x:v>14</x:v>
      </x:c>
      <x:c r="H42" s="111" t="n">
        <x:v>999</x:v>
      </x:c>
      <x:c r="I42" s="111" t="n">
        <x:v>9990</x:v>
      </x:c>
      <x:c r="J42" s="111" t="n">
        <x:v>35000</x:v>
      </x:c>
      <x:c r="K42" s="113" t="n">
        <x:v>4</x:v>
      </x:c>
      <x:c r="L42" s="113" t="n">
        <x:v>3</x:v>
      </x:c>
      <x:c r="M42" s="113" t="n">
        <x:v>4</x:v>
      </x:c>
      <x:c r="N42" s="113" t="n">
        <x:v>5</x:v>
      </x:c>
      <x:c r="O42" s="113" t="n">
        <x:v>5</x:v>
      </x:c>
      <x:c r="P42" s="113" t="n">
        <x:v>4</x:v>
      </x:c>
      <x:c r="Q42" s="113" t="n">
        <x:v>4</x:v>
      </x:c>
      <x:c r="R42" s="114" t="n">
        <x:f>ROUND(K42*'评分参数'!$B$4+L42*'评分参数'!$B$5+M42*'评分参数'!$B$6+N42*'评分参数'!$B$7+O42*'评分参数'!$B$8+P42*'评分参数'!$B$9+Q42*'评分参数'!$B$10,2)</x:f>
        <x:v>4.15</x:v>
      </x:c>
      <x:c r="S42" s="52" t="str">
        <x:v>启动成本：¥100–600；报价：¥699–2,499/月；定制 ¥2,000–6,000</x:v>
      </x:c>
      <x:c r="T42" s="52" t="str">
        <x:v>给 5 家同垂直出口商发 3 条免费样报；至少 1 家预付 ¥999/月</x:v>
      </x:c>
      <x:c r="U42" s="52" t="str">
        <x:v>翻译改变法律含义</x:v>
      </x:c>
      <x:c r="V42" s="52" t="str">
        <x:v>https://docs.ted.europa.eu/api/latest/search.html</x:v>
      </x:c>
      <x:c r="W42" s="52" t="str">
        <x:v>methods/34-ted-tender-brief.md</x:v>
      </x:c>
      <x:c r="X42" s="53" t="n">
        <x:f>IF(B42=20,1,IF(B42=1,2,IF(B42=22,3,1000-R42*100+B42/1000)))</x:f>
        <x:v>585.034</x:v>
      </x:c>
    </x:row>
    <x:row r="43" ht="56" customHeight="1">
      <x:c r="A43" s="50" t="str">
        <x:f>IF(B43=20,"首做",IF(B43=1,"首做",IF(B43=22,"首做",IF(R43&gt;=4.55,"P"&amp;1,IF(R43&gt;=4.10,"P"&amp;2,"P"&amp;3)))))</x:f>
        <x:v>P2</x:v>
      </x:c>
      <x:c r="B43" s="105" t="n">
        <x:v>36</x:v>
      </x:c>
      <x:c r="C43" s="52" t="str">
        <x:v>SEC 8-K/10-K 企业事件销售情报</x:v>
      </x:c>
      <x:c r="D43" s="52" t="str">
        <x:v>公共数据情报</x:v>
      </x:c>
      <x:c r="E43" s="111" t="n">
        <x:v>500</x:v>
      </x:c>
      <x:c r="F43" s="112" t="n">
        <x:v>2</x:v>
      </x:c>
      <x:c r="G43" s="112" t="n">
        <x:v>14</x:v>
      </x:c>
      <x:c r="H43" s="111" t="n">
        <x:v>999</x:v>
      </x:c>
      <x:c r="I43" s="111" t="n">
        <x:v>8990</x:v>
      </x:c>
      <x:c r="J43" s="111" t="n">
        <x:v>30000</x:v>
      </x:c>
      <x:c r="K43" s="113" t="n">
        <x:v>4</x:v>
      </x:c>
      <x:c r="L43" s="113" t="n">
        <x:v>4</x:v>
      </x:c>
      <x:c r="M43" s="113" t="n">
        <x:v>5</x:v>
      </x:c>
      <x:c r="N43" s="113" t="n">
        <x:v>5</x:v>
      </x:c>
      <x:c r="O43" s="113" t="n">
        <x:v>5</x:v>
      </x:c>
      <x:c r="P43" s="113" t="n">
        <x:v>3</x:v>
      </x:c>
      <x:c r="Q43" s="113" t="n">
        <x:v>3</x:v>
      </x:c>
      <x:c r="R43" s="114" t="n">
        <x:f>ROUND(K43*'评分参数'!$B$4+L43*'评分参数'!$B$5+M43*'评分参数'!$B$6+N43*'评分参数'!$B$7+O43*'评分参数'!$B$8+P43*'评分参数'!$B$9+Q43*'评分参数'!$B$10,2)</x:f>
        <x:v>4.15</x:v>
      </x:c>
      <x:c r="S43" s="52" t="str">
        <x:v>启动成本：¥100–500；报价：¥699–2,499/月；一次性清单 ¥1,500–4,000</x:v>
      </x:c>
      <x:c r="T43" s="52" t="str">
        <x:v>人工核验 20 条 filing，事件字段全部有原文短摘和官方链接；给 3 名销售试用，至少 1 名预付 ¥999/月</x:v>
      </x:c>
      <x:c r="U43" s="52" t="str">
        <x:v>把披露写成确定采购或投资建议</x:v>
      </x:c>
      <x:c r="V43" s="52" t="str">
        <x:v>https://www.sec.gov/search-filings/edgar-application-programming-interfaces</x:v>
      </x:c>
      <x:c r="W43" s="52" t="str">
        <x:v>methods/36-sec-filing-event-signals.md</x:v>
      </x:c>
      <x:c r="X43" s="53" t="n">
        <x:f>IF(B43=20,1,IF(B43=1,2,IF(B43=22,3,1000-R43*100+B43/1000)))</x:f>
        <x:v>585.036</x:v>
      </x:c>
    </x:row>
    <x:row r="44" ht="56" customHeight="1">
      <x:c r="A44" s="50" t="str">
        <x:f>IF(B44=20,"首做",IF(B44=1,"首做",IF(B44=22,"首做",IF(R44&gt;=4.55,"P"&amp;1,IF(R44&gt;=4.10,"P"&amp;2,"P"&amp;3)))))</x:f>
        <x:v>P3</x:v>
      </x:c>
      <x:c r="B44" s="105" t="n">
        <x:v>6</x:v>
      </x:c>
      <x:c r="C44" s="52" t="str">
        <x:v>内部 SOP 知识助手</x:v>
      </x:c>
      <x:c r="D44" s="52" t="str">
        <x:v>AI与业务自动化</x:v>
      </x:c>
      <x:c r="E44" s="111" t="n">
        <x:v>800</x:v>
      </x:c>
      <x:c r="F44" s="112" t="n">
        <x:v>2</x:v>
      </x:c>
      <x:c r="G44" s="112" t="n">
        <x:v>14</x:v>
      </x:c>
      <x:c r="H44" s="111" t="n">
        <x:v>6000</x:v>
      </x:c>
      <x:c r="I44" s="111" t="n">
        <x:v>32000</x:v>
      </x:c>
      <x:c r="J44" s="111" t="n">
        <x:v>85000</x:v>
      </x:c>
      <x:c r="K44" s="113" t="n">
        <x:v>4</x:v>
      </x:c>
      <x:c r="L44" s="113" t="n">
        <x:v>3</x:v>
      </x:c>
      <x:c r="M44" s="113" t="n">
        <x:v>4</x:v>
      </x:c>
      <x:c r="N44" s="113" t="n">
        <x:v>5</x:v>
      </x:c>
      <x:c r="O44" s="113" t="n">
        <x:v>5</x:v>
      </x:c>
      <x:c r="P44" s="113" t="n">
        <x:v>4</x:v>
      </x:c>
      <x:c r="Q44" s="113" t="n">
        <x:v>3</x:v>
      </x:c>
      <x:c r="R44" s="114" t="n">
        <x:f>ROUND(K44*'评分参数'!$B$4+L44*'评分参数'!$B$5+M44*'评分参数'!$B$6+N44*'评分参数'!$B$7+O44*'评分参数'!$B$8+P44*'评分参数'!$B$9+Q44*'评分参数'!$B$10,2)</x:f>
        <x:v>4.05</x:v>
      </x:c>
      <x:c r="S44" s="52" t="str">
        <x:v>启动成本：¥100–800；报价：设置 ¥8,000–25,000；维护 ¥2,000–6,000/月</x:v>
      </x:c>
      <x:c r="T44" s="52" t="str">
        <x:v>1 个客户为 20–50 份 SOP、30 个测试问题的固定范围试点注资/支付 ¥6,000</x:v>
      </x:c>
      <x:c r="U44" s="52" t="str">
        <x:v>权限串读</x:v>
      </x:c>
      <x:c r="V44" s="52" t="str">
        <x:v>https://advocacy.sba.gov/wp-content/uploads/2026/02/FINAL_FAQsAboutSmallBusiness_2026_012826.pdf</x:v>
      </x:c>
      <x:c r="W44" s="52" t="str">
        <x:v>methods/06-internal-sop-assistant.md</x:v>
      </x:c>
      <x:c r="X44" s="53" t="n">
        <x:f>IF(B44=20,1,IF(B44=1,2,IF(B44=22,3,1000-R44*100+B44/1000)))</x:f>
        <x:v>595.006</x:v>
      </x:c>
    </x:row>
    <x:row r="45" ht="56" customHeight="1">
      <x:c r="A45" s="50" t="str">
        <x:f>IF(B45=20,"首做",IF(B45=1,"首做",IF(B45=22,"首做",IF(R45&gt;=4.55,"P"&amp;1,IF(R45&gt;=4.10,"P"&amp;2,"P"&amp;3)))))</x:f>
        <x:v>P3</x:v>
      </x:c>
      <x:c r="B45" s="105" t="n">
        <x:v>42</x:v>
      </x:c>
      <x:c r="C45" s="52" t="str">
        <x:v>Census 对美进口 HS6 机会简报</x:v>
      </x:c>
      <x:c r="D45" s="52" t="str">
        <x:v>公共数据情报</x:v>
      </x:c>
      <x:c r="E45" s="111" t="n">
        <x:v>500</x:v>
      </x:c>
      <x:c r="F45" s="112" t="n">
        <x:v>2</x:v>
      </x:c>
      <x:c r="G45" s="112" t="n">
        <x:v>14</x:v>
      </x:c>
      <x:c r="H45" s="111" t="n">
        <x:v>1505</x:v>
      </x:c>
      <x:c r="I45" s="111" t="n">
        <x:v>10000</x:v>
      </x:c>
      <x:c r="J45" s="111" t="n">
        <x:v>35000</x:v>
      </x:c>
      <x:c r="K45" s="113" t="n">
        <x:v>4</x:v>
      </x:c>
      <x:c r="L45" s="113" t="n">
        <x:v>3</x:v>
      </x:c>
      <x:c r="M45" s="113" t="n">
        <x:v>5</x:v>
      </x:c>
      <x:c r="N45" s="113" t="n">
        <x:v>3</x:v>
      </x:c>
      <x:c r="O45" s="113" t="n">
        <x:v>5</x:v>
      </x:c>
      <x:c r="P45" s="113" t="n">
        <x:v>4</x:v>
      </x:c>
      <x:c r="Q45" s="113" t="n">
        <x:v>5</x:v>
      </x:c>
      <x:c r="R45" s="114" t="n">
        <x:f>ROUND(K45*'评分参数'!$B$4+L45*'评分参数'!$B$5+M45*'评分参数'!$B$6+N45*'评分参数'!$B$7+O45*'评分参数'!$B$8+P45*'评分参数'!$B$9+Q45*'评分参数'!$B$10,2)</x:f>
        <x:v>4.05</x:v>
      </x:c>
      <x:c r="S45" s="52" t="str">
        <x:v>启动成本：¥0–500；报价：Upwork 试点 US$215；后续 ¥1,500–8,000/份；月度 ¥999–2,999</x:v>
      </x:c>
      <x:c r="T45" s="52" t="str">
        <x:v>用官方 API 做 1 页中国+2 个替代国样报并访谈 5 家工厂；1 家购买并注资 Upwork US$215 固定价试点（报告按 US$1=¥7 约 ¥1,505）才扩到 6 国/60 月</x:v>
      </x:c>
      <x:c r="U45" s="52" t="str">
        <x:v>进口额被误解为可获得订单</x:v>
      </x:c>
      <x:c r="V45" s="52" t="str">
        <x:v>https://www.census.gov/data/developers/data-sets/international-trade.html</x:v>
      </x:c>
      <x:c r="W45" s="52" t="str">
        <x:v>methods/42-census-us-import-brief.md</x:v>
      </x:c>
      <x:c r="X45" s="53" t="n">
        <x:f>IF(B45=20,1,IF(B45=1,2,IF(B45=22,3,1000-R45*100+B45/1000)))</x:f>
        <x:v>595.042</x:v>
      </x:c>
    </x:row>
    <x:row r="46" ht="56" customHeight="1">
      <x:c r="A46" s="50" t="str">
        <x:f>IF(B46=20,"首做",IF(B46=1,"首做",IF(B46=22,"首做",IF(R46&gt;=4.55,"P"&amp;1,IF(R46&gt;=4.10,"P"&amp;2,"P"&amp;3)))))</x:f>
        <x:v>P3</x:v>
      </x:c>
      <x:c r="B46" s="105" t="n">
        <x:v>47</x:v>
      </x:c>
      <x:c r="C46" s="52" t="str">
        <x:v>Udemy 岗位化 AI Workflow 实战课</x:v>
      </x:c>
      <x:c r="D46" s="52" t="str">
        <x:v>数字产品</x:v>
      </x:c>
      <x:c r="E46" s="111" t="n">
        <x:v>1800</x:v>
      </x:c>
      <x:c r="F46" s="112" t="n">
        <x:v>2</x:v>
      </x:c>
      <x:c r="G46" s="112" t="n">
        <x:v>14</x:v>
      </x:c>
      <x:c r="H46" s="111" t="n">
        <x:v>1001</x:v>
      </x:c>
      <x:c r="I46" s="111" t="n">
        <x:v>5980</x:v>
      </x:c>
      <x:c r="J46" s="111" t="n">
        <x:v>20000</x:v>
      </x:c>
      <x:c r="K46" s="113" t="n">
        <x:v>5</x:v>
      </x:c>
      <x:c r="L46" s="113" t="n">
        <x:v>3</x:v>
      </x:c>
      <x:c r="M46" s="113" t="n">
        <x:v>4</x:v>
      </x:c>
      <x:c r="N46" s="113" t="n">
        <x:v>3</x:v>
      </x:c>
      <x:c r="O46" s="113" t="n">
        <x:v>5</x:v>
      </x:c>
      <x:c r="P46" s="113" t="n">
        <x:v>4</x:v>
      </x:c>
      <x:c r="Q46" s="113" t="n">
        <x:v>4</x:v>
      </x:c>
      <x:c r="R46" s="114" t="n">
        <x:f>ROUND(K46*'评分参数'!$B$4+L46*'评分参数'!$B$5+M46*'评分参数'!$B$6+N46*'评分参数'!$B$7+O46*'评分参数'!$B$8+P46*'评分参数'!$B$9+Q46*'评分参数'!$B$10,2)</x:f>
        <x:v>4.05</x:v>
      </x:c>
      <x:c r="S46" s="52" t="str">
        <x:v>启动成本：¥300–1,800；报价：Upwork 企业直播 US$143；Udemy 常见成交价按平台促销，直链成交讲师分成 97% 净额</x:v>
      </x:c>
      <x:c r="T46" s="52" t="str">
        <x:v>用完整大纲和 15 分钟样课在 Upwork Project Catalog 卖 1 个 US$143 全额注资企业直播试点（按 US$1=¥7 为 ¥1,001）；少于 1 个付费则换岗位，15 分钟样课不得提交 Udemy 审核</x:v>
      </x:c>
      <x:c r="U46" s="52" t="str">
        <x:v>样课被误当可上架课程</x:v>
      </x:c>
      <x:c r="V46" s="52" t="str">
        <x:v>https://business.udemy.com/2026-global-learning-skills-trends-report/</x:v>
      </x:c>
      <x:c r="W46" s="52" t="str">
        <x:v>methods/47-udemy-role-ai-course.md</x:v>
      </x:c>
      <x:c r="X46" s="53" t="n">
        <x:f>IF(B46=20,1,IF(B46=1,2,IF(B46=22,3,1000-R46*100+B46/1000)))</x:f>
        <x:v>595.047</x:v>
      </x:c>
    </x:row>
    <x:row r="47" ht="56" customHeight="1">
      <x:c r="A47" s="50" t="str">
        <x:f>IF(B47=20,"首做",IF(B47=1,"首做",IF(B47=22,"首做",IF(R47&gt;=4.55,"P"&amp;1,IF(R47&gt;=4.10,"P"&amp;2,"P"&amp;3)))))</x:f>
        <x:v>P3</x:v>
      </x:c>
      <x:c r="B47" s="105" t="n">
        <x:v>35</x:v>
      </x:c>
      <x:c r="C47" s="52" t="str">
        <x:v>Federal Register/Regulations.gov 监管变化雷达</x:v>
      </x:c>
      <x:c r="D47" s="52" t="str">
        <x:v>公共数据情报</x:v>
      </x:c>
      <x:c r="E47" s="111" t="n">
        <x:v>500</x:v>
      </x:c>
      <x:c r="F47" s="112" t="n">
        <x:v>2</x:v>
      </x:c>
      <x:c r="G47" s="112" t="n">
        <x:v>14</x:v>
      </x:c>
      <x:c r="H47" s="111" t="n">
        <x:v>1200</x:v>
      </x:c>
      <x:c r="I47" s="111" t="n">
        <x:v>12000</x:v>
      </x:c>
      <x:c r="J47" s="111" t="n">
        <x:v>42000</x:v>
      </x:c>
      <x:c r="K47" s="113" t="n">
        <x:v>4</x:v>
      </x:c>
      <x:c r="L47" s="113" t="n">
        <x:v>3</x:v>
      </x:c>
      <x:c r="M47" s="113" t="n">
        <x:v>5</x:v>
      </x:c>
      <x:c r="N47" s="113" t="n">
        <x:v>5</x:v>
      </x:c>
      <x:c r="O47" s="113" t="n">
        <x:v>5</x:v>
      </x:c>
      <x:c r="P47" s="113" t="n">
        <x:v>3</x:v>
      </x:c>
      <x:c r="Q47" s="113" t="n">
        <x:v>3</x:v>
      </x:c>
      <x:c r="R47" s="114" t="n">
        <x:f>ROUND(K47*'评分参数'!$B$4+L47*'评分参数'!$B$5+M47*'评分参数'!$B$6+N47*'评分参数'!$B$7+O47*'评分参数'!$B$8+P47*'评分参数'!$B$9+Q47*'评分参数'!$B$10,2)</x:f>
        <x:v>4</x:v>
      </x:c>
      <x:c r="S47" s="52" t="str">
        <x:v>启动成本：¥100–500；报价：¥999–3,999/月/主题；定制 ¥2,000–8,000</x:v>
      </x:c>
      <x:c r="T47" s="52" t="str">
        <x:v>回放过去 90 天，人工标注 20 条；给 3 个顾问试用，1 个预付 ¥1,200/月</x:v>
      </x:c>
      <x:c r="U47" s="52" t="str">
        <x:v>摘要被当成法律意见</x:v>
      </x:c>
      <x:c r="V47" s="52" t="str">
        <x:v>https://www.federalregister.gov/developers/documentation/api/v1</x:v>
      </x:c>
      <x:c r="W47" s="52" t="str">
        <x:v>methods/35-regulatory-radar.md</x:v>
      </x:c>
      <x:c r="X47" s="53" t="n">
        <x:f>IF(B47=20,1,IF(B47=1,2,IF(B47=22,3,1000-R47*100+B47/1000)))</x:f>
        <x:v>600.035</x:v>
      </x:c>
    </x:row>
    <x:row r="48" ht="56" customHeight="1">
      <x:c r="A48" s="50" t="str">
        <x:f>IF(B48=20,"首做",IF(B48=1,"首做",IF(B48=22,"首做",IF(R48&gt;=4.55,"P"&amp;1,IF(R48&gt;=4.10,"P"&amp;2,"P"&amp;3)))))</x:f>
        <x:v>P3</x:v>
      </x:c>
      <x:c r="B48" s="105" t="n">
        <x:v>39</x:v>
      </x:c>
      <x:c r="C48" s="52" t="str">
        <x:v>EPA ECHO DC 活跃重大设施检查/行动/罚款信号</x:v>
      </x:c>
      <x:c r="D48" s="52" t="str">
        <x:v>公共数据情报</x:v>
      </x:c>
      <x:c r="E48" s="111" t="n">
        <x:v>500</x:v>
      </x:c>
      <x:c r="F48" s="112" t="n">
        <x:v>2</x:v>
      </x:c>
      <x:c r="G48" s="112" t="n">
        <x:v>21</x:v>
      </x:c>
      <x:c r="H48" s="111" t="n">
        <x:v>1200</x:v>
      </x:c>
      <x:c r="I48" s="111" t="n">
        <x:v>10000</x:v>
      </x:c>
      <x:c r="J48" s="111" t="n">
        <x:v>34000</x:v>
      </x:c>
      <x:c r="K48" s="113" t="n">
        <x:v>4</x:v>
      </x:c>
      <x:c r="L48" s="113" t="n">
        <x:v>3</x:v>
      </x:c>
      <x:c r="M48" s="113" t="n">
        <x:v>5</x:v>
      </x:c>
      <x:c r="N48" s="113" t="n">
        <x:v>5</x:v>
      </x:c>
      <x:c r="O48" s="113" t="n">
        <x:v>5</x:v>
      </x:c>
      <x:c r="P48" s="113" t="n">
        <x:v>3</x:v>
      </x:c>
      <x:c r="Q48" s="113" t="n">
        <x:v>3</x:v>
      </x:c>
      <x:c r="R48" s="114" t="n">
        <x:f>ROUND(K48*'评分参数'!$B$4+L48*'评分参数'!$B$5+M48*'评分参数'!$B$6+N48*'评分参数'!$B$7+O48*'评分参数'!$B$8+P48*'评分参数'!$B$9+Q48*'评分参数'!$B$10,2)</x:f>
        <x:v>4</x:v>
      </x:c>
      <x:c r="S48" s="52" t="str">
        <x:v>启动成本：¥100–500；报价：¥999–3,999/月；定制报告 ¥2,000–6,000</x:v>
      </x:c>
      <x:c r="T48" s="52" t="str">
        <x:v>给 3 个环保垂直服务商展示 10 条免费样报；至少 1 个为 DC 30 天报告预付 ¥1,200</x:v>
      </x:c>
      <x:c r="U48" s="52" t="str">
        <x:v>历史记录被写成当前违法</x:v>
      </x:c>
      <x:c r="V48" s="52" t="str">
        <x:v>https://echo.epa.gov/tools/web-services</x:v>
      </x:c>
      <x:c r="W48" s="52" t="str">
        <x:v>methods/39-epa-echo-leads.md</x:v>
      </x:c>
      <x:c r="X48" s="53" t="n">
        <x:f>IF(B48=20,1,IF(B48=1,2,IF(B48=22,3,1000-R48*100+B48/1000)))</x:f>
        <x:v>600.039</x:v>
      </x:c>
    </x:row>
    <x:row r="49" ht="56" customHeight="1">
      <x:c r="A49" s="50" t="str">
        <x:f>IF(B49=20,"首做",IF(B49=1,"首做",IF(B49=22,"首做",IF(R49&gt;=4.55,"P"&amp;1,IF(R49&gt;=4.10,"P"&amp;2,"P"&amp;3)))))</x:f>
        <x:v>P3</x:v>
      </x:c>
      <x:c r="B49" s="105" t="n">
        <x:v>18</x:v>
      </x:c>
      <x:c r="C49" s="52" t="str">
        <x:v>YouTube 自动配音审核与本地化</x:v>
      </x:c>
      <x:c r="D49" s="52" t="str">
        <x:v>内容与本地化</x:v>
      </x:c>
      <x:c r="E49" s="111" t="n">
        <x:v>250</x:v>
      </x:c>
      <x:c r="F49" s="112" t="n">
        <x:v>2</x:v>
      </x:c>
      <x:c r="G49" s="112" t="n">
        <x:v>7</x:v>
      </x:c>
      <x:c r="H49" s="111" t="n">
        <x:v>1500</x:v>
      </x:c>
      <x:c r="I49" s="111" t="n">
        <x:v>12000</x:v>
      </x:c>
      <x:c r="J49" s="111" t="n">
        <x:v>36000</x:v>
      </x:c>
      <x:c r="K49" s="113" t="n">
        <x:v>4</x:v>
      </x:c>
      <x:c r="L49" s="113" t="n">
        <x:v>4</x:v>
      </x:c>
      <x:c r="M49" s="113" t="n">
        <x:v>5</x:v>
      </x:c>
      <x:c r="N49" s="113" t="n">
        <x:v>3</x:v>
      </x:c>
      <x:c r="O49" s="113" t="n">
        <x:v>4</x:v>
      </x:c>
      <x:c r="P49" s="113" t="n">
        <x:v>4</x:v>
      </x:c>
      <x:c r="Q49" s="113" t="n">
        <x:v>4</x:v>
      </x:c>
      <x:c r="R49" s="114" t="n">
        <x:f>ROUND(K49*'评分参数'!$B$4+L49*'评分参数'!$B$5+M49*'评分参数'!$B$6+N49*'评分参数'!$B$7+O49*'评分参数'!$B$8+P49*'评分参数'!$B$9+Q49*'评分参数'!$B$10,2)</x:f>
        <x:v>3.95</x:v>
      </x:c>
      <x:c r="S49" s="52" t="str">
        <x:v>启动成本：¥0–250；报价：¥1,500–6,000/视频/语言；包月 ¥6,000–20,000</x:v>
      </x:c>
      <x:c r="T49" s="52" t="str">
        <x:v>1 个客户为一个 10 分钟以内公开视频本地化 QA 试点实际注资/支付至少 ¥1,200；付款只验证购买意愿，不是技术通过条件</x:v>
      </x:c>
      <x:c r="U49" s="52" t="str">
        <x:v>关键术语误译</x:v>
      </x:c>
      <x:c r="V49" s="52" t="str">
        <x:v>https://blog.youtube/news-and-events/youtube-auto-dubbing-expressive-speech/</x:v>
      </x:c>
      <x:c r="W49" s="52" t="str">
        <x:v>methods/18-youtube-localization-qa.md</x:v>
      </x:c>
      <x:c r="X49" s="53" t="n">
        <x:f>IF(B49=20,1,IF(B49=1,2,IF(B49=22,3,1000-R49*100+B49/1000)))</x:f>
        <x:v>605.018</x:v>
      </x:c>
    </x:row>
    <x:row r="50" ht="56" customHeight="1">
      <x:c r="A50" s="50" t="str">
        <x:f>IF(B50=20,"首做",IF(B50=1,"首做",IF(B50=22,"首做",IF(R50&gt;=4.55,"P"&amp;1,IF(R50&gt;=4.10,"P"&amp;2,"P"&amp;3)))))</x:f>
        <x:v>P3</x:v>
      </x:c>
      <x:c r="B50" s="105" t="n">
        <x:v>32</x:v>
      </x:c>
      <x:c r="C50" s="52" t="str">
        <x:v>USAspending 续约与 Incumbent 情报</x:v>
      </x:c>
      <x:c r="D50" s="52" t="str">
        <x:v>公共数据情报</x:v>
      </x:c>
      <x:c r="E50" s="111" t="n">
        <x:v>600</x:v>
      </x:c>
      <x:c r="F50" s="112" t="n">
        <x:v>2</x:v>
      </x:c>
      <x:c r="G50" s="112" t="n">
        <x:v>14</x:v>
      </x:c>
      <x:c r="H50" s="111" t="n">
        <x:v>1500</x:v>
      </x:c>
      <x:c r="I50" s="111" t="n">
        <x:v>8500</x:v>
      </x:c>
      <x:c r="J50" s="111" t="n">
        <x:v>28000</x:v>
      </x:c>
      <x:c r="K50" s="113" t="n">
        <x:v>4</x:v>
      </x:c>
      <x:c r="L50" s="113" t="n">
        <x:v>3</x:v>
      </x:c>
      <x:c r="M50" s="113" t="n">
        <x:v>5</x:v>
      </x:c>
      <x:c r="N50" s="113" t="n">
        <x:v>4</x:v>
      </x:c>
      <x:c r="O50" s="113" t="n">
        <x:v>5</x:v>
      </x:c>
      <x:c r="P50" s="113" t="n">
        <x:v>3</x:v>
      </x:c>
      <x:c r="Q50" s="113" t="n">
        <x:v>4</x:v>
      </x:c>
      <x:c r="R50" s="114" t="n">
        <x:f>ROUND(K50*'评分参数'!$B$4+L50*'评分参数'!$B$5+M50*'评分参数'!$B$6+N50*'评分参数'!$B$7+O50*'评分参数'!$B$8+P50*'评分参数'!$B$9+Q50*'评分参数'!$B$10,2)</x:f>
        <x:v>3.95</x:v>
      </x:c>
      <x:c r="S50" s="52" t="str">
        <x:v>启动成本：¥100–600；报价：¥1,500–5,000/报告；¥699–1,999/月</x:v>
      </x:c>
      <x:c r="T50" s="52" t="str">
        <x:v>做 20 条样报并访谈 3 个 BD；1 人预付 ¥1,500 才做自动化</x:v>
      </x:c>
      <x:c r="U50" s="52" t="str">
        <x:v>奖项被误解为未来采购</x:v>
      </x:c>
      <x:c r="V50" s="52" t="str">
        <x:v>https://api.usaspending.gov/docs/</x:v>
      </x:c>
      <x:c r="W50" s="52" t="str">
        <x:v>methods/32-usaspending-renewal-intel.md</x:v>
      </x:c>
      <x:c r="X50" s="53" t="n">
        <x:f>IF(B50=20,1,IF(B50=1,2,IF(B50=22,3,1000-R50*100+B50/1000)))</x:f>
        <x:v>605.032</x:v>
      </x:c>
    </x:row>
    <x:row r="51" ht="56" customHeight="1">
      <x:c r="A51" s="50" t="str">
        <x:f>IF(B51=20,"首做",IF(B51=1,"首做",IF(B51=22,"首做",IF(R51&gt;=4.55,"P"&amp;1,IF(R51&gt;=4.10,"P"&amp;2,"P"&amp;3)))))</x:f>
        <x:v>P3</x:v>
      </x:c>
      <x:c r="B51" s="105" t="n">
        <x:v>44</x:v>
      </x:c>
      <x:c r="C51" s="52" t="str">
        <x:v>垂直行业 B2B Sales Deck 模板套件</x:v>
      </x:c>
      <x:c r="D51" s="52" t="str">
        <x:v>数字产品</x:v>
      </x:c>
      <x:c r="E51" s="111" t="n">
        <x:v>700</x:v>
      </x:c>
      <x:c r="F51" s="112" t="n">
        <x:v>2</x:v>
      </x:c>
      <x:c r="G51" s="112" t="n">
        <x:v>14</x:v>
      </x:c>
      <x:c r="H51" s="111" t="n">
        <x:v>1008</x:v>
      </x:c>
      <x:c r="I51" s="111" t="n">
        <x:v>5990</x:v>
      </x:c>
      <x:c r="J51" s="111" t="n">
        <x:v>16975</x:v>
      </x:c>
      <x:c r="K51" s="113" t="n">
        <x:v>4</x:v>
      </x:c>
      <x:c r="L51" s="113" t="n">
        <x:v>4</x:v>
      </x:c>
      <x:c r="M51" s="113" t="n">
        <x:v>5</x:v>
      </x:c>
      <x:c r="N51" s="113" t="n">
        <x:v>3</x:v>
      </x:c>
      <x:c r="O51" s="113" t="n">
        <x:v>5</x:v>
      </x:c>
      <x:c r="P51" s="113" t="n">
        <x:v>3</x:v>
      </x:c>
      <x:c r="Q51" s="113" t="n">
        <x:v>4</x:v>
      </x:c>
      <x:c r="R51" s="114" t="n">
        <x:f>ROUND(K51*'评分参数'!$B$4+L51*'评分参数'!$B$5+M51*'评分参数'!$B$6+N51*'评分参数'!$B$7+O51*'评分参数'!$B$8+P51*'评分参数'!$B$9+Q51*'评分参数'!$B$10,2)</x:f>
        <x:v>3.95</x:v>
      </x:c>
      <x:c r="S51" s="52" t="str">
        <x:v>启动成本：¥0–700；报价：Upwork beta US$72；Creative Market 个人包 ¥199–499 等值外币；定制 ¥2,000–8,000</x:v>
      </x:c>
      <x:c r="T51" s="52" t="str">
        <x:v>Day 7 前完成 8 页可即时交付 beta；2 个独立客户各自购买并全额注资一个 US$72 Upwork Project Catalog 订单，每单分别 Submit work 一次（按 US$1=¥7 合计 ¥1,008），Creative Market 不承接未完成商品预售</x:v>
      </x:c>
      <x:c r="U51" s="52" t="str">
        <x:v>Creative Market 店铺/收款未通过</x:v>
      </x:c>
      <x:c r="V51" s="52" t="str">
        <x:v>https://www.canva.com/newsroom/news/visual-economy-report-2024/</x:v>
      </x:c>
      <x:c r="W51" s="52" t="str">
        <x:v>methods/44-vertical-sales-deck-kit.md</x:v>
      </x:c>
      <x:c r="X51" s="53" t="n">
        <x:f>IF(B51=20,1,IF(B51=1,2,IF(B51=22,3,1000-R51*100+B51/1000)))</x:f>
        <x:v>605.044</x:v>
      </x:c>
    </x:row>
    <x:row r="52" ht="56" customHeight="1">
      <x:c r="A52" s="50" t="str">
        <x:f>IF(B52=20,"首做",IF(B52=1,"首做",IF(B52=22,"首做",IF(R52&gt;=4.55,"P"&amp;1,IF(R52&gt;=4.10,"P"&amp;2,"P"&amp;3)))))</x:f>
        <x:v>P3</x:v>
      </x:c>
      <x:c r="B52" s="105" t="n">
        <x:v>46</x:v>
      </x:c>
      <x:c r="C52" s="52" t="str">
        <x:v>Shopify 单行业商品图与 UGC 广告模板系统</x:v>
      </x:c>
      <x:c r="D52" s="52" t="str">
        <x:v>数字产品</x:v>
      </x:c>
      <x:c r="E52" s="111" t="n">
        <x:v>500</x:v>
      </x:c>
      <x:c r="F52" s="112" t="n">
        <x:v>2</x:v>
      </x:c>
      <x:c r="G52" s="112" t="n">
        <x:v>14</x:v>
      </x:c>
      <x:c r="H52" s="111" t="n">
        <x:v>609</x:v>
      </x:c>
      <x:c r="I52" s="111" t="n">
        <x:v>3988</x:v>
      </x:c>
      <x:c r="J52" s="111" t="n">
        <x:v>17962</x:v>
      </x:c>
      <x:c r="K52" s="113" t="n">
        <x:v>4</x:v>
      </x:c>
      <x:c r="L52" s="113" t="n">
        <x:v>4</x:v>
      </x:c>
      <x:c r="M52" s="113" t="n">
        <x:v>5</x:v>
      </x:c>
      <x:c r="N52" s="113" t="n">
        <x:v>3</x:v>
      </x:c>
      <x:c r="O52" s="113" t="n">
        <x:v>5</x:v>
      </x:c>
      <x:c r="P52" s="113" t="n">
        <x:v>3</x:v>
      </x:c>
      <x:c r="Q52" s="113" t="n">
        <x:v>4</x:v>
      </x:c>
      <x:c r="R52" s="114" t="n">
        <x:f>ROUND(K52*'评分参数'!$B$4+L52*'评分参数'!$B$5+M52*'评分参数'!$B$6+N52*'评分参数'!$B$7+O52*'评分参数'!$B$8+P52*'评分参数'!$B$9+Q52*'评分参数'!$B$10,2)</x:f>
        <x:v>3.95</x:v>
      </x:c>
      <x:c r="S52" s="52" t="str">
        <x:v>启动成本：¥0–500；报价：Upwork beta US$29；Creative Market 行业包 ¥199–499 等值外币；定制 ¥2,000–6,000</x:v>
      </x:c>
      <x:c r="T52" s="52" t="str">
        <x:v>Day 7 前完成 10 个可即时交付 beta；向 10 家同垂直商家展示，3 个独立客户各自购买并全额注资一个 US$29 Upwork Project Catalog 订单，每单分别 Submit work 一次（按 US$1=¥7 合计 ¥609）后扩成 30 个</x:v>
      </x:c>
      <x:c r="U52" s="52" t="str">
        <x:v>Canva/Creative Market 权利冲突</x:v>
      </x:c>
      <x:c r="V52" s="52" t="str">
        <x:v>https://www.census.gov/retail/ecommerce.html</x:v>
      </x:c>
      <x:c r="W52" s="52" t="str">
        <x:v>methods/46-shopify-ad-template-system.md</x:v>
      </x:c>
      <x:c r="X52" s="53" t="n">
        <x:f>IF(B52=20,1,IF(B52=1,2,IF(B52=22,3,1000-R52*100+B52/1000)))</x:f>
        <x:v>605.046</x:v>
      </x:c>
    </x:row>
    <x:row r="53" ht="56" customHeight="1">
      <x:c r="A53" s="50" t="str">
        <x:f>IF(B53=20,"首做",IF(B53=1,"首做",IF(B53=22,"首做",IF(R53&gt;=4.55,"P"&amp;1,IF(R53&gt;=4.10,"P"&amp;2,"P"&amp;3)))))</x:f>
        <x:v>P3</x:v>
      </x:c>
      <x:c r="B53" s="105" t="n">
        <x:v>40</x:v>
      </x:c>
      <x:c r="C53" s="52" t="str">
        <x:v>CFPB 投诉主题与异常看板</x:v>
      </x:c>
      <x:c r="D53" s="52" t="str">
        <x:v>公共数据情报</x:v>
      </x:c>
      <x:c r="E53" s="111" t="n">
        <x:v>500</x:v>
      </x:c>
      <x:c r="F53" s="112" t="n">
        <x:v>3</x:v>
      </x:c>
      <x:c r="G53" s="112" t="n">
        <x:v>21</x:v>
      </x:c>
      <x:c r="H53" s="111" t="n">
        <x:v>2000</x:v>
      </x:c>
      <x:c r="I53" s="111" t="n">
        <x:v>12000</x:v>
      </x:c>
      <x:c r="J53" s="111" t="n">
        <x:v>38000</x:v>
      </x:c>
      <x:c r="K53" s="113" t="n">
        <x:v>4</x:v>
      </x:c>
      <x:c r="L53" s="113" t="n">
        <x:v>3</x:v>
      </x:c>
      <x:c r="M53" s="113" t="n">
        <x:v>4</x:v>
      </x:c>
      <x:c r="N53" s="113" t="n">
        <x:v>4</x:v>
      </x:c>
      <x:c r="O53" s="113" t="n">
        <x:v>5</x:v>
      </x:c>
      <x:c r="P53" s="113" t="n">
        <x:v>3</x:v>
      </x:c>
      <x:c r="Q53" s="113" t="n">
        <x:v>3</x:v>
      </x:c>
      <x:c r="R53" s="114" t="n">
        <x:f>ROUND(K53*'评分参数'!$B$4+L53*'评分参数'!$B$5+M53*'评分参数'!$B$6+N53*'评分参数'!$B$7+O53*'评分参数'!$B$8+P53*'评分参数'!$B$9+Q53*'评分参数'!$B$10,2)</x:f>
        <x:v>3.75</x:v>
      </x:c>
      <x:c r="S53" s="52" t="str">
        <x:v>启动成本：¥100–500；报价：¥2,000–8,000/报告；¥999–3,999/月</x:v>
      </x:c>
      <x:c r="T53" s="52" t="str">
        <x:v>先交一个产品的公开样板；3 个团队访谈中 1 个预付 ¥2,000 报告费</x:v>
      </x:c>
      <x:c r="U53" s="52" t="str">
        <x:v>投诉被当作监管裁定</x:v>
      </x:c>
      <x:c r="V53" s="52" t="str">
        <x:v>https://www.consumerfinance.gov/data-research/consumer-complaints/</x:v>
      </x:c>
      <x:c r="W53" s="52" t="str">
        <x:v>methods/40-cfpb-complaint-dashboard.md</x:v>
      </x:c>
      <x:c r="X53" s="53" t="n">
        <x:f>IF(B53=20,1,IF(B53=1,2,IF(B53=22,3,1000-R53*100+B53/1000)))</x:f>
        <x:v>625.04</x:v>
      </x:c>
    </x:row>
    <x:row r="54" ht="56" customHeight="1">
      <x:c r="A54" s="54" t="str">
        <x:f>IF(B54=20,"首做",IF(B54=1,"首做",IF(B54=22,"首做",IF(R54&gt;=4.55,"P"&amp;1,IF(R54&gt;=4.10,"P"&amp;2,"P"&amp;3)))))</x:f>
        <x:v>P3</x:v>
      </x:c>
      <x:c r="B54" s="106" t="n">
        <x:v>48</x:v>
      </x:c>
      <x:c r="C54" s="56" t="str">
        <x:v>KDP 30 天岗位化 AI 实验 Workbook</x:v>
      </x:c>
      <x:c r="D54" s="56" t="str">
        <x:v>数字产品</x:v>
      </x:c>
      <x:c r="E54" s="115" t="n">
        <x:v>1000</x:v>
      </x:c>
      <x:c r="F54" s="116" t="n">
        <x:v>2</x:v>
      </x:c>
      <x:c r="G54" s="116" t="n">
        <x:v>30</x:v>
      </x:c>
      <x:c r="H54" s="115" t="n">
        <x:v>230</x:v>
      </x:c>
      <x:c r="I54" s="115" t="n">
        <x:v>1840</x:v>
      </x:c>
      <x:c r="J54" s="115" t="n">
        <x:v>6900</x:v>
      </x:c>
      <x:c r="K54" s="117" t="n">
        <x:v>4</x:v>
      </x:c>
      <x:c r="L54" s="117" t="n">
        <x:v>3</x:v>
      </x:c>
      <x:c r="M54" s="117" t="n">
        <x:v>4</x:v>
      </x:c>
      <x:c r="N54" s="117" t="n">
        <x:v>2</x:v>
      </x:c>
      <x:c r="O54" s="117" t="n">
        <x:v>5</x:v>
      </x:c>
      <x:c r="P54" s="117" t="n">
        <x:v>4</x:v>
      </x:c>
      <x:c r="Q54" s="117" t="n">
        <x:v>4</x:v>
      </x:c>
      <x:c r="R54" s="118" t="n">
        <x:f>ROUND(K54*'评分参数'!$B$4+L54*'评分参数'!$B$5+M54*'评分参数'!$B$6+N54*'评分参数'!$B$7+O54*'评分参数'!$B$8+P54*'评分参数'!$B$9+Q54*'评分参数'!$B$10,2)</x:f>
        <x:v>3.7</x:v>
      </x:c>
      <x:c r="S54" s="56" t="str">
        <x:v>启动成本：¥200–1,000；报价：Kindle eBook US$9.99；发行后模型按每本约 ¥46 估算版税（70% 上限再预留 delivery/汇率差）</x:v>
      </x:c>
      <x:c r="T54" s="56" t="str">
        <x:v>10 名免费 beta 读者中至少 5 名完成 Day 1–3；Day 20 上传终稿并设 Day 27 GMT 发行，Day 30 的净付费购买数=净预售单+发行后非预售净销量且不得重复计算，至少 5 单并确认 eBook 已 Live</x:v>
      </x:c>
      <x:c r="U54" s="56" t="str">
        <x:v>低内容或 AI 垃圾被拒</x:v>
      </x:c>
      <x:c r="V54" s="56" t="str">
        <x:v>https://business.udemy.com/2026-global-learning-skills-trends-report/</x:v>
      </x:c>
      <x:c r="W54" s="56" t="str">
        <x:v>methods/48-kdp-ai-workbook.md</x:v>
      </x:c>
      <x:c r="X54" s="57" t="n">
        <x:f>IF(B54=20,1,IF(B54=1,2,IF(B54=22,3,1000-R54*100+B54/1000)))</x:f>
        <x:v>630.048</x:v>
      </x:c>
    </x:row>
  </x:sheetData>
  <x:mergeCells>
    <x:mergeCell ref="A1:X1"/>
    <x:mergeCell ref="A2:X2"/>
  </x:mergeCells>
  <x:conditionalFormatting sqref="A5:A54">
    <x:cfRule type="containsText" dxfId="0" priority="1" operator="containsText" text="首做"/>
  </x:conditionalFormatting>
  <x:conditionalFormatting sqref="R5:R5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J54">
    <x:cfRule type="dataBar" priority="3">
      <x:dataBar>
        <x:cfvo type="min"/>
        <x:cfvo type="max"/>
        <x:color rgb="FF5EEAD4"/>
      </x:dataBar>
      <x:extLst>
        <x:ext xmlns:x14="http://schemas.microsoft.com/office/spreadsheetml/2009/9/main" uri="{B025F937-C7B1-47D3-B67F-A62EFF666E3E}">
          <x14:id>{9641B59F-0563-D3FE-365F-1E3868CB6AC4}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20fc1b5e3a948f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641B59F-0563-D3FE-365F-1E3868CB6AC4}">
            <x14:dataBar gradient="1">
              <x14:cfvo type="min"/>
              <x14:cfvo type="max"/>
              <x14:fillColor rgb="FF5EEAD4"/>
            </x14:dataBar>
          </x14:cfRule>
          <xm:sqref>H5:J54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36" hidden="0" customWidth="1"/>
  </x:cols>
  <x:sheetData>
    <x:row r="1" ht="32" customHeight="1">
      <x:c r="A1" s="4" t="str">
        <x:v>评分参数｜可编辑；总权重应为 100%</x:v>
      </x:c>
      <x:c r="B1" s="4" t="str">
        <x:v>评分参数｜可编辑；总权重应为 100%</x:v>
      </x:c>
      <x:c r="C1" s="4" t="str">
        <x:v>评分参数｜可编辑；总权重应为 100%</x:v>
      </x:c>
      <x:c r="D1" s="4" t="str">
        <x:v>评分参数｜可编辑；总权重应为 100%</x:v>
      </x:c>
    </x:row>
    <x:row r="2" ht="32" customHeight="1">
      <x:c r="A2" s="4" t="str">
        <x:v>评分参数｜可编辑；总权重应为 100%</x:v>
      </x:c>
      <x:c r="B2" s="4" t="str">
        <x:v>评分参数｜可编辑；总权重应为 100%</x:v>
      </x:c>
      <x:c r="C2" s="4" t="str">
        <x:v>评分参数｜可编辑；总权重应为 100%</x:v>
      </x:c>
      <x:c r="D2" s="4" t="str">
        <x:v>评分参数｜可编辑；总权重应为 100%</x:v>
      </x:c>
    </x:row>
    <x:row r="3" ht="30" customHeight="1">
      <x:c r="A3" s="16" t="str">
        <x:v>评分项</x:v>
      </x:c>
      <x:c r="B3" s="17" t="str">
        <x:v>权重</x:v>
      </x:c>
      <x:c r="C3" s="17" t="str">
        <x:v>5 分含义</x:v>
      </x:c>
      <x:c r="D3" s="18" t="str">
        <x:v>使用说明</x:v>
      </x:c>
    </x:row>
    <x:row r="4">
      <x:c r="A4" s="46" t="str">
        <x:v>需求证据</x:v>
      </x:c>
      <x:c r="B4" s="47" t="n">
        <x:v>0.2</x:v>
      </x:c>
      <x:c r="C4" s="48" t="str">
        <x:v>有当前一手需求、渠道或强痛点证据</x:v>
      </x:c>
      <x:c r="D4" s="49" t="str">
        <x:v>编辑蓝色权重；综合分与 P 级自动重算</x:v>
      </x:c>
    </x:row>
    <x:row r="5">
      <x:c r="A5" s="50" t="str">
        <x:v>验证速度</x:v>
      </x:c>
      <x:c r="B5" s="51" t="n">
        <x:v>0.15</x:v>
      </x:c>
      <x:c r="C5" s="52" t="str">
        <x:v>7 天左右可出样品，30 天可收费</x:v>
      </x:c>
      <x:c r="D5" s="53" t="str">
        <x:v>编辑蓝色权重；综合分与 P 级自动重算</x:v>
      </x:c>
    </x:row>
    <x:row r="6">
      <x:c r="A6" s="50" t="str">
        <x:v>低成本</x:v>
      </x:c>
      <x:c r="B6" s="51" t="n">
        <x:v>0.1</x:v>
      </x:c>
      <x:c r="C6" s="52" t="str">
        <x:v>现金启动成本很低</x:v>
      </x:c>
      <x:c r="D6" s="53" t="str">
        <x:v>编辑蓝色权重；综合分与 P 级自动重算</x:v>
      </x:c>
    </x:row>
    <x:row r="7">
      <x:c r="A7" s="50" t="str">
        <x:v>复购性</x:v>
      </x:c>
      <x:c r="B7" s="51" t="n">
        <x:v>0.15</x:v>
      </x:c>
      <x:c r="C7" s="52" t="str">
        <x:v>月费/复检/续订自然成立</x:v>
      </x:c>
      <x:c r="D7" s="53" t="str">
        <x:v>编辑蓝色权重；综合分与 P 级自动重算</x:v>
      </x:c>
    </x:row>
    <x:row r="8">
      <x:c r="A8" s="50" t="str">
        <x:v>自动化杠杆</x:v>
      </x:c>
      <x:c r="B8" s="51" t="n">
        <x:v>0.15</x:v>
      </x:c>
      <x:c r="C8" s="52" t="str">
        <x:v>交付可复用、自动化或数字化</x:v>
      </x:c>
      <x:c r="D8" s="53" t="str">
        <x:v>编辑蓝色权重；综合分与 P 级自动重算</x:v>
      </x:c>
    </x:row>
    <x:row r="9">
      <x:c r="A9" s="50" t="str">
        <x:v>获客可达</x:v>
      </x:c>
      <x:c r="B9" s="51" t="n">
        <x:v>0.15</x:v>
      </x:c>
      <x:c r="C9" s="52" t="str">
        <x:v>可合法触达买方且付款路径可行</x:v>
      </x:c>
      <x:c r="D9" s="53" t="str">
        <x:v>编辑蓝色权重；综合分与 P 级自动重算</x:v>
      </x:c>
    </x:row>
    <x:row r="10">
      <x:c r="A10" s="50" t="str">
        <x:v>风险可控</x:v>
      </x:c>
      <x:c r="B10" s="51" t="n">
        <x:v>0.1</x:v>
      </x:c>
      <x:c r="C10" s="52" t="str">
        <x:v>许可、隐私、平台与责任边界清楚</x:v>
      </x:c>
      <x:c r="D10" s="53" t="str">
        <x:v>编辑蓝色权重；综合分与 P 级自动重算</x:v>
      </x:c>
    </x:row>
    <x:row r="11">
      <x:c r="A11" s="66" t="str">
        <x:v>权重合计</x:v>
      </x:c>
      <x:c r="B11" s="67" t="n">
        <x:f>SUM(B4:B10)</x:f>
        <x:v>1</x:v>
      </x:c>
      <x:c r="C11" s="68" t="str">
        <x:v>应等于 100%</x:v>
      </x:c>
      <x:c r="D11" s="69" t="str">
        <x:v>若不等于 100%，综合分仍会按实际权重计算</x:v>
      </x:c>
    </x:row>
    <x:row r="12">
      <x:c r="A12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B12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C12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D12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</x:row>
    <x:row r="13">
      <x:c r="A13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B13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C13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D13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</x:row>
    <x:row r="14">
      <x:c r="A14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B14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C14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  <x:c r="D14" s="73" t="str">
        <x:v>编辑说明：蓝色权重变更后，综合分、P1/P2/P3 与动态排序键自动重算；前三项“首做”始终锁定 20→01→22。数据行不会自动移动，请在“50项目对比”表点击“动态排序键”筛选箭头 &gt; 从小到大排序。收益列是测试情景，不是保证。</x:v>
      </x:c>
    </x:row>
  </x:sheetData>
  <x:mergeCells>
    <x:mergeCell ref="A1:D2"/>
    <x:mergeCell ref="A12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54" hidden="0" customWidth="1"/>
    <x:col min="4" max="4" width="58" hidden="0" customWidth="1"/>
    <x:col min="5" max="5" width="52" hidden="0" customWidth="1"/>
  </x:cols>
  <x:sheetData>
    <x:row r="1" ht="32" customHeight="1">
      <x:c r="A1" s="4" t="str">
        <x:v>来源账本｜一手事实与使用边界</x:v>
      </x:c>
      <x:c r="B1" s="4" t="str">
        <x:v>来源账本｜一手事实与使用边界</x:v>
      </x:c>
      <x:c r="C1" s="4" t="str">
        <x:v>来源账本｜一手事实与使用边界</x:v>
      </x:c>
      <x:c r="D1" s="4" t="str">
        <x:v>来源账本｜一手事实与使用边界</x:v>
      </x:c>
      <x:c r="E1" s="4" t="str">
        <x:v>来源账本｜一手事实与使用边界</x:v>
      </x:c>
    </x:row>
    <x:row r="2" ht="32" customHeight="1">
      <x:c r="A2" s="4" t="str">
        <x:v>来源账本｜一手事实与使用边界</x:v>
      </x:c>
      <x:c r="B2" s="4" t="str">
        <x:v>来源账本｜一手事实与使用边界</x:v>
      </x:c>
      <x:c r="C2" s="4" t="str">
        <x:v>来源账本｜一手事实与使用边界</x:v>
      </x:c>
      <x:c r="D2" s="4" t="str">
        <x:v>来源账本｜一手事实与使用边界</x:v>
      </x:c>
      <x:c r="E2" s="4" t="str">
        <x:v>来源账本｜一手事实与使用边界</x:v>
      </x:c>
    </x:row>
    <x:row r="3" ht="30" customHeight="1">
      <x:c r="A3" s="16" t="str">
        <x:v>来源ID</x:v>
      </x:c>
      <x:c r="B3" s="17" t="str">
        <x:v>标题</x:v>
      </x:c>
      <x:c r="C3" s="17" t="str">
        <x:v>URL</x:v>
      </x:c>
      <x:c r="D3" s="17" t="str">
        <x:v>本报告采用事实</x:v>
      </x:c>
      <x:c r="E3" s="18" t="str">
        <x:v>局限/边界</x:v>
      </x:c>
    </x:row>
    <x:row r="4" ht="58" customHeight="1">
      <x:c r="A4" s="46" t="str">
        <x:v>M01</x:v>
      </x:c>
      <x:c r="B4" s="48" t="str">
        <x:v>SBA Frequently Asked Questions About Small Business, February 2026</x:v>
      </x:c>
      <x:c r="C4" s="48" t="str">
        <x:v>https://advocacy.sba.gov/wp-content/uploads/2026/02/FINAL_FAQsAboutSmallBusiness_2026_012826.pdf</x:v>
      </x:c>
      <x:c r="D4" s="48" t="str">
        <x:v>美国有 36,207,130 家小企业，82.3% 为无雇员企业；大量小企业没有内部运营团队。</x:v>
      </x:c>
      <x:c r="E4" s="49" t="str">
        <x:v>仅代表美国；SBA 的小企业口径可宽至 500 人。</x:v>
      </x:c>
    </x:row>
    <x:row r="5" ht="58" customHeight="1">
      <x:c r="A5" s="50" t="str">
        <x:v>M02</x:v>
      </x:c>
      <x:c r="B5" s="52" t="str">
        <x:v>U.S. Census: Large Firms With at Least 20 Employees Biggest AI Users</x:v>
      </x:c>
      <x:c r="C5" s="52" t="str">
        <x:v>https://www.census.gov/library/stories/2026/05/ai-use-businesses.html</x:v>
      </x:c>
      <x:c r="D5" s="52" t="str">
        <x:v>2025 年末至 2026 年中美国企业 AI 使用率约 17%–20%，最小企业低于 20%，显示落地仍有明显缺口。</x:v>
      </x:c>
      <x:c r="E5" s="53" t="str">
        <x:v>调查问题在 2025 年 11 月调整，旧序列不宜直接同比。</x:v>
      </x:c>
    </x:row>
    <x:row r="6" ht="58" customHeight="1">
      <x:c r="A6" s="50" t="str">
        <x:v>M03</x:v>
      </x:c>
      <x:c r="B6" s="52" t="str">
        <x:v>Upwork In-Demand Skills 2026</x:v>
      </x:c>
      <x:c r="C6" s="52" t="str">
        <x:v>https://www.upwork.com/research/in-demand-skills-2026</x:v>
      </x:c>
      <x:c r="D6" s="52" t="str">
        <x:v>2025 年平台合同显示 AI 明确技能需求同比增长 109%；AI integration 增长 178%，AI chatbot development 增长 71%，AI 视频生成/编辑增长 329%。</x:v>
      </x:c>
      <x:c r="E6" s="53" t="str">
        <x:v>Upwork 平台样本不等于全市场，增速也不等于绝对规模。</x:v>
      </x:c>
    </x:row>
    <x:row r="7" ht="58" customHeight="1">
      <x:c r="A7" s="50" t="str">
        <x:v>M04</x:v>
      </x:c>
      <x:c r="B7" s="52" t="str">
        <x:v>Upwork Future Workforce Index 2026</x:v>
      </x:c>
      <x:c r="C7" s="52" t="str">
        <x:v>https://www.upwork.com/research/research-future-workforce-index-2026</x:v>
      </x:c>
      <x:c r="D7" s="52" t="str">
        <x:v>AI 增强专业服务合同同比增长 72%、收入增长 22%，AI 工作时薪溢价 34%；低复杂度 AI 执行任务收入下降。</x:v>
      </x:c>
      <x:c r="E7" s="53" t="str">
        <x:v>支持结果型整合服务，不支持把批量 AI 内容包装为高价值服务。</x:v>
      </x:c>
    </x:row>
    <x:row r="8" ht="58" customHeight="1">
      <x:c r="A8" s="50" t="str">
        <x:v>M05</x:v>
      </x:c>
      <x:c r="B8" s="52" t="str">
        <x:v>Make pricing</x:v>
      </x:c>
      <x:c r="C8" s="52" t="str">
        <x:v>https://www.make.com/en/pricing</x:v>
      </x:c>
      <x:c r="D8" s="52" t="str">
        <x:v>免费版提供每月 1,000 credits；Core 计划约每月 12 美元起，可连接 3,000 多个应用。</x:v>
      </x:c>
      <x:c r="E8" s="53" t="str">
        <x:v>复杂流程每个模块动作都会消耗额度，免费版轮询频率有限。</x:v>
      </x:c>
    </x:row>
    <x:row r="9" ht="58" customHeight="1">
      <x:c r="A9" s="50" t="str">
        <x:v>M06</x:v>
      </x:c>
      <x:c r="B9" s="52" t="str">
        <x:v>HubSpot free CRM pricing</x:v>
      </x:c>
      <x:c r="C9" s="52" t="str">
        <x:v>https://www.hubspot.com/pricing/crm</x:v>
      </x:c>
      <x:c r="D9" s="52" t="str">
        <x:v>免费 CRM 为 0 美元，支持最多 2 名用户和 1,000 个联系人，并含管道、表单、会议链接与基础报表。</x:v>
      </x:c>
      <x:c r="E9" s="53" t="str">
        <x:v>高级自动化、去重和去品牌能力受限。</x:v>
      </x:c>
    </x:row>
    <x:row r="10" ht="58" customHeight="1">
      <x:c r="A10" s="50" t="str">
        <x:v>M07</x:v>
      </x:c>
      <x:c r="B10" s="52" t="str">
        <x:v>Alibaba Cloud Model Studio pricing</x:v>
      </x:c>
      <x:c r="C10" s="52" t="str">
        <x:v>https://www.alibabacloud.com/help/en/model-studio/model-pricing</x:v>
      </x:c>
      <x:c r="D10" s="52" t="str">
        <x:v>Qwen 文本、翻译和视觉模型按 token 计费，足以用很低边际成本做小规模验证。</x:v>
      </x:c>
      <x:c r="E10" s="53" t="str">
        <x:v>价格、促销、地区和数据驻留要求会变化，正式上线前重查。</x:v>
      </x:c>
    </x:row>
    <x:row r="11" ht="58" customHeight="1">
      <x:c r="A11" s="50" t="str">
        <x:v>M08</x:v>
      </x:c>
      <x:c r="B11" s="52" t="str">
        <x:v>OpenAI API supported countries and territories</x:v>
      </x:c>
      <x:c r="C11" s="52" t="str">
        <x:v>https://help.openai.com/en/articles/5347006-openai-api-supported-countries-and-territories</x:v>
      </x:c>
      <x:c r="D11" s="52" t="str">
        <x:v>中国大陆不在 OpenAI API 当前支持地区列表中。</x:v>
      </x:c>
      <x:c r="E11" s="53" t="str">
        <x:v>不得用代理、代注册或虚假地区绕过；客户若使用，应在支持地区用其自有合规基础设施。</x:v>
      </x:c>
    </x:row>
    <x:row r="12" ht="58" customHeight="1">
      <x:c r="A12" s="50" t="str">
        <x:v>M09</x:v>
      </x:c>
      <x:c r="B12" s="52" t="str">
        <x:v>Stripe pricing</x:v>
      </x:c>
      <x:c r="C12" s="52" t="str">
        <x:v>https://stripe.com/pricing</x:v>
      </x:c>
      <x:c r="D12" s="52" t="str">
        <x:v>美国标准国内卡费率为 2.9% 加 0.30 美元；Payment Links 无设置费或月费，Invoicing Starter 为已付发票金额的 0.4%。</x:v>
      </x:c>
      <x:c r="E12" s="53" t="str">
        <x:v>费率因国家而异。</x:v>
      </x:c>
    </x:row>
    <x:row r="13" ht="58" customHeight="1">
      <x:c r="A13" s="50" t="str">
        <x:v>M10</x:v>
      </x:c>
      <x:c r="B13" s="52" t="str">
        <x:v>Stripe global availability</x:v>
      </x:c>
      <x:c r="C13" s="52" t="str">
        <x:v>https://stripe.com/global</x:v>
      </x:c>
      <x:c r="D13" s="52" t="str">
        <x:v>Stripe 支持香港等地区，但不支持中国大陆主体直接开户。</x:v>
      </x:c>
      <x:c r="E13" s="53" t="str">
        <x:v>方案只能配置客户自有的受支持地区账户，服务方不代收资金。</x:v>
      </x:c>
    </x:row>
    <x:row r="14" ht="58" customHeight="1">
      <x:c r="A14" s="50" t="str">
        <x:v>M11</x:v>
      </x:c>
      <x:c r="B14" s="52" t="str">
        <x:v>Calendly pricing</x:v>
      </x:c>
      <x:c r="C14" s="52" t="str">
        <x:v>https://calendly.com/pricing/</x:v>
      </x:c>
      <x:c r="D14" s="52" t="str">
        <x:v>免费版可创建一个 event type；Standard 年付约每席位每月 10 美元并含自动提醒与集成。</x:v>
      </x:c>
      <x:c r="E14" s="53" t="str">
        <x:v>短信、地区和外部应用可能另收费。</x:v>
      </x:c>
    </x:row>
    <x:row r="15" ht="58" customHeight="1">
      <x:c r="A15" s="50" t="str">
        <x:v>M12</x:v>
      </x:c>
      <x:c r="B15" s="52" t="str">
        <x:v>U.S. Census Quarterly Retail E-Commerce Sales, Q2 2026</x:v>
      </x:c>
      <x:c r="C15" s="52" t="str">
        <x:v>https://www.census.gov/retail/ecommerce.html</x:v>
      </x:c>
      <x:c r="D15" s="52" t="str">
        <x:v>2026 年第二季度美国电商销售额为 3,402 亿美元，同比增长 12.2%，占零售 17.1%。</x:v>
      </x:c>
      <x:c r="E15" s="53" t="str">
        <x:v>美国总量不能直接代表某个垂直细分。</x:v>
      </x:c>
    </x:row>
    <x:row r="16" ht="58" customHeight="1">
      <x:c r="A16" s="50" t="str">
        <x:v>M13</x:v>
      </x:c>
      <x:c r="B16" s="52" t="str">
        <x:v>Shopify About</x:v>
      </x:c>
      <x:c r="C16" s="52" t="str">
        <x:v>https://www.shopify.com/news/about-us</x:v>
      </x:c>
      <x:c r="D16" s="52" t="str">
        <x:v>Shopify 服务 175 多个国家的数百万商家，2025 年 GMV 为 3,780 亿美元，生态中有 21,000 多个应用。</x:v>
      </x:c>
      <x:c r="E16" s="53" t="str">
        <x:v>平台规模不自动证明某个细分需求。</x:v>
      </x:c>
    </x:row>
    <x:row r="17" ht="58" customHeight="1">
      <x:c r="A17" s="50" t="str">
        <x:v>M14</x:v>
      </x:c>
      <x:c r="B17" s="52" t="str">
        <x:v>Google Merchant Center free listings</x:v>
      </x:c>
      <x:c r="C17" s="52" t="str">
        <x:v>https://support.google.com/merchants/answer/13889434?hl=en-A</x:v>
      </x:c>
      <x:c r="D17" s="52" t="str">
        <x:v>合格商品可免费出现在 Search、Maps、Gemini、YouTube、Shopping、Images 与 Lens。</x:v>
      </x:c>
      <x:c r="E17" s="53" t="str">
        <x:v>合格不等于一定展示，也不保证流量或销量。</x:v>
      </x:c>
    </x:row>
    <x:row r="18" ht="58" customHeight="1">
      <x:c r="A18" s="50" t="str">
        <x:v>M15</x:v>
      </x:c>
      <x:c r="B18" s="52" t="str">
        <x:v>Google Product structured data</x:v>
      </x:c>
      <x:c r="C18" s="52" t="str">
        <x:v>https://developers.google.com/search/docs/appearance/structured-data/product</x:v>
      </x:c>
      <x:c r="D18" s="52" t="str">
        <x:v>Product 数据与 Merchant Center feed 可提供价格、库存、评分、配送和退货信息；两者并用可提高丰富结果资格。</x:v>
      </x:c>
      <x:c r="E18" s="53" t="str">
        <x:v>结构化数据不保证 rich result，页面与标记必须一致。</x:v>
      </x:c>
    </x:row>
    <x:row r="19" ht="58" customHeight="1">
      <x:c r="A19" s="50" t="str">
        <x:v>M16</x:v>
      </x:c>
      <x:c r="B19" s="52" t="str">
        <x:v>GA4 ecommerce setup</x:v>
      </x:c>
      <x:c r="C19" s="52" t="str">
        <x:v>https://support.google.com/analytics/answer/12200568?hl=en</x:v>
      </x:c>
      <x:c r="D19" s="52" t="str">
        <x:v>电商行为需显式发送 view_item、add_to_cart、begin_checkout、purchase 等事件，不能只靠安装 GA4 自动获得完整漏斗。</x:v>
      </x:c>
      <x:c r="E19" s="53" t="str">
        <x:v>实施需满足当地隐私、同意与保留要求。</x:v>
      </x:c>
    </x:row>
    <x:row r="20" ht="58" customHeight="1">
      <x:c r="A20" s="50" t="str">
        <x:v>M17</x:v>
      </x:c>
      <x:c r="B20" s="52" t="str">
        <x:v>Looker Studio data sources</x:v>
      </x:c>
      <x:c r="C20" s="52" t="str">
        <x:v>https://cloud.google.com/looker/docs/studio/about-data-sources</x:v>
      </x:c>
      <x:c r="D20" s="52" t="str">
        <x:v>Looker Studio 可通过数据源连接器把 GA、Sheets 等数据转为共享报表。</x:v>
      </x:c>
      <x:c r="E20" s="53" t="str">
        <x:v>指标定义错误会产生看似漂亮但不可决策的仪表盘。</x:v>
      </x:c>
    </x:row>
    <x:row r="21" ht="58" customHeight="1">
      <x:c r="A21" s="50" t="str">
        <x:v>M18</x:v>
      </x:c>
      <x:c r="B21" s="52" t="str">
        <x:v>Google Core Web Vitals</x:v>
      </x:c>
      <x:c r="C21" s="52" t="str">
        <x:v>https://developers.google.com/search/docs/appearance/core-web-vitals</x:v>
      </x:c>
      <x:c r="D21" s="52" t="str">
        <x:v>Google 推荐良好体验阈值为 LCP 不高于 2.5 秒、INP 低于 200 毫秒、CLS 低于 0.1。</x:v>
      </x:c>
      <x:c r="E21" s="53" t="str">
        <x:v>它只是体验和搜索信号之一，不能承诺排名或转化。</x:v>
      </x:c>
    </x:row>
    <x:row r="22" ht="58" customHeight="1">
      <x:c r="A22" s="50" t="str">
        <x:v>M19</x:v>
      </x:c>
      <x:c r="B22" s="52" t="str">
        <x:v>WordPress plugin and theme auto-updates</x:v>
      </x:c>
      <x:c r="C22" s="52" t="str">
        <x:v>https://wordpress.org/documentation/article/plugins-themes-auto-updates/</x:v>
      </x:c>
      <x:c r="D22" s="52" t="str">
        <x:v>WordPress 官方提供插件与主题自动更新，并强调更新前应有可恢复备份。</x:v>
      </x:c>
      <x:c r="E22" s="53" t="str">
        <x:v>自动更新不等于托管安全服务；需 staging、回滚和恢复演练。</x:v>
      </x:c>
    </x:row>
    <x:row r="23" ht="58" customHeight="1">
      <x:c r="A23" s="50" t="str">
        <x:v>M20</x:v>
      </x:c>
      <x:c r="B23" s="52" t="str">
        <x:v>Google Business Profile performance</x:v>
      </x:c>
      <x:c r="C23" s="52" t="str">
        <x:v>https://support.google.com/business/answer/9918094?hl=en</x:v>
      </x:c>
      <x:c r="D23" s="52" t="str">
        <x:v>Business Profile 提供搜索、浏览、来电、网站点击、路线等绩效指标。</x:v>
      </x:c>
      <x:c r="E23" s="53" t="str">
        <x:v>服务方只能以 manager 身份操作，客户应保留 owner。</x:v>
      </x:c>
    </x:row>
    <x:row r="24" ht="58" customHeight="1">
      <x:c r="A24" s="50" t="str">
        <x:v>M21</x:v>
      </x:c>
      <x:c r="B24" s="52" t="str">
        <x:v>Google Business Profile manage reviews</x:v>
      </x:c>
      <x:c r="C24" s="52" t="str">
        <x:v>https://support.google.com/business/answer/3474050?hl=en</x:v>
      </x:c>
      <x:c r="D24" s="52" t="str">
        <x:v>商家可以回复评论并分享评价链接或二维码请求真实反馈。</x:v>
      </x:c>
      <x:c r="E24" s="53" t="str">
        <x:v>不得激励好评、筛掉不满意客户或进行 review gating。</x:v>
      </x:c>
    </x:row>
    <x:row r="25" ht="58" customHeight="1">
      <x:c r="A25" s="50" t="str">
        <x:v>M22</x:v>
      </x:c>
      <x:c r="B25" s="52" t="str">
        <x:v>YouTube automatic dubbing update</x:v>
      </x:c>
      <x:c r="C25" s="52" t="str">
        <x:v>https://blog.youtube/news-and-events/youtube-auto-dubbing-expressive-speech/</x:v>
      </x:c>
      <x:c r="D25" s="52" t="str">
        <x:v>YouTube 2026 年公布自动配音覆盖 27 种语言；2025 年 12 月平均每天有超过 600 万观众观看至少 10 分钟自动配音内容。</x:v>
      </x:c>
      <x:c r="E25" s="53" t="str">
        <x:v>平台也承认术语与翻译需要创作者审核，免费自动配音本身不是收费点。</x:v>
      </x:c>
    </x:row>
    <x:row r="26" ht="58" customHeight="1">
      <x:c r="A26" s="50" t="str">
        <x:v>M23</x:v>
      </x:c>
      <x:c r="B26" s="52" t="str">
        <x:v>Gmail sender guidelines</x:v>
      </x:c>
      <x:c r="C26" s="52" t="str">
        <x:v>https://support.google.com/mail/answer/81126?hl=en</x:v>
      </x:c>
      <x:c r="D26" s="52" t="str">
        <x:v>所有发件人应使用 SPF 或 DKIM；大量发件人还需 SPF、DKIM、DMARC、对齐和一键退订，并把垃圾邮件率保持在 0.3% 以下。</x:v>
      </x:c>
      <x:c r="E26" s="53" t="str">
        <x:v>技术配置不豁免 CAN-SPAM、PECR、GDPR 或收件人所在地法律。</x:v>
      </x:c>
    </x:row>
    <x:row r="27" ht="58" customHeight="1">
      <x:c r="A27" s="50" t="str">
        <x:v>M24</x:v>
      </x:c>
      <x:c r="B27" s="52" t="str">
        <x:v>CISA Small and Medium Business Resources</x:v>
      </x:c>
      <x:c r="C27" s="52" t="str">
        <x:v>https://www.cisa.gov/small-and-medium-sized-business-resources</x:v>
      </x:c>
      <x:c r="D27" s="52" t="str">
        <x:v>CISA 面向中小企业列出网络钓鱼、密码、MFA、更新、日志、备份和加密等核心实践并提供免费资源。</x:v>
      </x:c>
      <x:c r="E27" s="53" t="str">
        <x:v>本方案是基础卫生检查，不是渗透测试、认证或零风险保证。</x:v>
      </x:c>
    </x:row>
    <x:row r="28" ht="58" customHeight="1">
      <x:c r="A28" s="50" t="str">
        <x:v>M25</x:v>
      </x:c>
      <x:c r="B28" s="52" t="str">
        <x:v>European Accessibility Act</x:v>
      </x:c>
      <x:c r="C28" s="52" t="str">
        <x:v>https://commission.europa.eu/news-and-media/news/eu-becomes-more-accessible-all-2025-07-31_en</x:v>
      </x:c>
      <x:c r="D28" s="52" t="str">
        <x:v>欧盟无障碍法自 2025 年 6 月起适用于包括电子商务在内的产品和服务，欧盟约有 1 亿残障人士。</x:v>
      </x:c>
      <x:c r="E28" s="53" t="str">
        <x:v>个案义务需专业法律判断，服务只能承诺测试范围和修复项。</x:v>
      </x:c>
    </x:row>
    <x:row r="29" ht="58" customHeight="1">
      <x:c r="A29" s="50" t="str">
        <x:v>M26</x:v>
      </x:c>
      <x:c r="B29" s="52" t="str">
        <x:v>WebAIM evaluation services FAQ</x:v>
      </x:c>
      <x:c r="C29" s="52" t="str">
        <x:v>https://webaim.org/contact/faq</x:v>
      </x:c>
      <x:c r="D29" s="52" t="str">
        <x:v>WebAIM 披露多数首次人工评估报价在 2,000–8,000 美元，通常覆盖代表性页面并附咨询。</x:v>
      </x:c>
      <x:c r="E29" s="53" t="str">
        <x:v>这是单一供应商的公开价格，不是全市场均价。</x:v>
      </x:c>
    </x:row>
    <x:row r="30" ht="58" customHeight="1">
      <x:c r="A30" s="50" t="str">
        <x:v>M27</x:v>
      </x:c>
      <x:c r="B30" s="52" t="str">
        <x:v>WAVE API pricing</x:v>
      </x:c>
      <x:c r="C30" s="52" t="str">
        <x:v>https://wave.webaim.org/api/</x:v>
      </x:c>
      <x:c r="D30" s="52" t="str">
        <x:v>新账户有 100 个免费 credits；基础页面检测每页 1 credit，后续最低可按每 credit 0.025–0.04 美元购买。</x:v>
      </x:c>
      <x:c r="E30" s="53" t="str">
        <x:v>自动工具不能确认完整可访问性，必须加入键盘、读屏和人工判断。</x:v>
      </x:c>
    </x:row>
    <x:row r="31" ht="58" customHeight="1">
      <x:c r="A31" s="50" t="str">
        <x:v>M28</x:v>
      </x:c>
      <x:c r="B31" s="52" t="str">
        <x:v>Chaser pricing</x:v>
      </x:c>
      <x:c r="C31" s="52" t="str">
        <x:v>https://www.chaserhq.com/pricing</x:v>
      </x:c>
      <x:c r="D31" s="52" t="str">
        <x:v>Chaser 2026 年公开的应收自动化 Compact 计划约从 259 美元/月起，包含 30 个跟进模板和 4 个自动流程。</x:v>
      </x:c>
      <x:c r="E31" s="53" t="str">
        <x:v>这是竞品价格锚点，不证明每个小企业都会购买。</x:v>
      </x:c>
    </x:row>
    <x:row r="32" ht="58" customHeight="1">
      <x:c r="A32" s="50" t="str">
        <x:v>M29</x:v>
      </x:c>
      <x:c r="B32" s="52" t="str">
        <x:v>Google Merchant Center product status definitions</x:v>
      </x:c>
      <x:c r="C32" s="52" t="str">
        <x:v>https://support.google.com/merchants/answer/12488713?hl=en</x:v>
      </x:c>
      <x:c r="D32" s="52" t="str">
        <x:v>Merchant Center 的 Approved 表示商品符合资格；Processing 表示仍在处理中，尚未批准或展示。</x:v>
      </x:c>
      <x:c r="E32" s="53" t="str">
        <x:v>批准不保证展示或销量；还要核对目标 destination 的可见性，审核时间与服务实施时间分开。</x:v>
      </x:c>
    </x:row>
    <x:row r="33" ht="58" customHeight="1">
      <x:c r="A33" s="50" t="str">
        <x:v>M30</x:v>
      </x:c>
      <x:c r="B33" s="52" t="str">
        <x:v>Upwork How to create a project in Project Catalog</x:v>
      </x:c>
      <x:c r="C33" s="52" t="str">
        <x:v>https://support.upwork.com/hc/en-us/articles/360057397533-How-to-create-a-project-in-Project-Catalog</x:v>
      </x:c>
      <x:c r="D33" s="52" t="str">
        <x:v>当前自由职业者创建 Project Catalog 的路径为 Find Work &gt; Your services &gt; Create Project；项目价格范围明确列为 US$5–US$500,000。</x:v>
      </x:c>
      <x:c r="E33" s="53" t="str">
        <x:v>人民币只可作内部折算模型，不能填进 Upwork Price/offer 金额；实际 CNY 到账由支付伙伴换汇且可能含加价。菜单、资格、费率和审核会变化。</x:v>
      </x:c>
    </x:row>
    <x:row r="34" ht="58" customHeight="1">
      <x:c r="A34" s="50" t="str">
        <x:v>M31</x:v>
      </x:c>
      <x:c r="B34" s="52" t="str">
        <x:v>GA4 Monitor events in DebugView</x:v>
      </x:c>
      <x:c r="C34" s="52" t="str">
        <x:v>https://support.google.com/analytics/answer/7201382?hl=en</x:v>
      </x:c>
      <x:c r="D34" s="52" t="str">
        <x:v>GA4 DebugView 用于实时查看启用 debug mode 的设备事件；GTM 可通过 Preview/Tag Assistant 在设备上启用调试。</x:v>
      </x:c>
      <x:c r="E34" s="53" t="str">
        <x:v>DebugView 只证明调试设备发送，不替代标准报表约 24 小时后的对账、去重和同意检查。</x:v>
      </x:c>
    </x:row>
    <x:row r="35" ht="58" customHeight="1">
      <x:c r="A35" s="50" t="str">
        <x:v>D01</x:v>
      </x:c>
      <x:c r="B35" s="52" t="str">
        <x:v>SAM.gov Get Opportunities Public API</x:v>
      </x:c>
      <x:c r="C35" s="52" t="str">
        <x:v>https://open.gsa.gov/api/get-opportunities-public-api/</x:v>
      </x:c>
      <x:c r="D35" s="52" t="str">
        <x:v>官方 Opportunities v2 API 提供公开采购机会，可按 NAICS、履约地点、公告类型、发布日期与响应截止窗口查询；请求参数不含最小/最大金额过滤器。</x:v>
      </x:c>
      <x:c r="E35" s="53" t="str">
        <x:v>需 API key、遵守限额；data.award.amount 只可能存在于带 award information 的记录，不是待投预算。缺失金额写 unknown，最终状态回链 SAM.gov 核验。</x:v>
      </x:c>
    </x:row>
    <x:row r="36" ht="58" customHeight="1">
      <x:c r="A36" s="50" t="str">
        <x:v>D02</x:v>
      </x:c>
      <x:c r="B36" s="52" t="str">
        <x:v>USAspending API</x:v>
      </x:c>
      <x:c r="C36" s="52" t="str">
        <x:v>https://api.usaspending.gov/docs/</x:v>
      </x:c>
      <x:c r="D36" s="52" t="str">
        <x:v>美国财政部 V2 Spending by Award API 支持 POST 筛选 award type、time period、agency、NAICS 和字段，并以 page_metadata.hasNext 指示分页。</x:v>
      </x:c>
      <x:c r="E36" s="53" t="str">
        <x:v>time_period 是奖项搜索过滤期，不是未来续约窗口；历史奖项只能形成需人工核验的研究信号，不能表述为采购承诺。</x:v>
      </x:c>
    </x:row>
    <x:row r="37" ht="58" customHeight="1">
      <x:c r="A37" s="50" t="str">
        <x:v>D03</x:v>
      </x:c>
      <x:c r="B37" s="52" t="str">
        <x:v>Grants.gov API</x:v>
      </x:c>
      <x:c r="C37" s="52" t="str">
        <x:v>https://www.grants.gov/api</x:v>
      </x:c>
      <x:c r="D37" s="52" t="str">
        <x:v>Grants.gov 提供公开资助机会搜索 API，search2 可用于发现机会。</x:v>
      </x:c>
      <x:c r="E37" s="53" t="str">
        <x:v>匹配不等于有资格或会获资助，最终以原公告为准。</x:v>
      </x:c>
    </x:row>
    <x:row r="38" ht="58" customHeight="1">
      <x:c r="A38" s="50" t="str">
        <x:v>D04</x:v>
      </x:c>
      <x:c r="B38" s="52" t="str">
        <x:v>TED Search API</x:v>
      </x:c>
      <x:c r="C38" s="52" t="str">
        <x:v>https://docs.ted.europa.eu/api/latest/search.html</x:v>
      </x:c>
      <x:c r="D38" s="52" t="str">
        <x:v>TED Search API v3 支持匿名 POST 查询、字段选择、PAGE_NUMBER/ITERATION 分页和 onlyLatestVersions；响应提供官方 links.html 语言回链。</x:v>
      </x:c>
      <x:c r="E38" s="53" t="str">
        <x:v>PAGE_NUMBER 每页最多 250、最多 15,000 条；超过应使用 ITERATION token。保留来源、语言和提取日期，不镜像权利不明附件。</x:v>
      </x:c>
    </x:row>
    <x:row r="39" ht="58" customHeight="1">
      <x:c r="A39" s="50" t="str">
        <x:v>D05</x:v>
      </x:c>
      <x:c r="B39" s="52" t="str">
        <x:v>Federal Register API</x:v>
      </x:c>
      <x:c r="C39" s="52" t="str">
        <x:v>https://www.federalregister.gov/developers/documentation/api/v1</x:v>
      </x:c>
      <x:c r="D39" s="52" t="str">
        <x:v>Federal Register v1 documents API 无需 key，可按机构、发布日期和 term 检索，并返回 html_url、pdf_url 与 next_page_url。</x:v>
      </x:c>
      <x:c r="E39" s="53" t="str">
        <x:v>网页是非官方信息呈现；分页应跟随 next_page_url，法律依赖应打开 pdf_url 指向的 GovInfo 官方 PDF。</x:v>
      </x:c>
    </x:row>
    <x:row r="40" ht="58" customHeight="1">
      <x:c r="A40" s="50" t="str">
        <x:v>D06</x:v>
      </x:c>
      <x:c r="B40" s="52" t="str">
        <x:v>Regulations.gov API</x:v>
      </x:c>
      <x:c r="C40" s="52" t="str">
        <x:v>https://open.gsa.gov/api/regulationsgov/</x:v>
      </x:c>
      <x:c r="D40" s="52" t="str">
        <x:v>Regulations.gov v4 documents API 使用 X-Api-Key，可按 agencyId、searchTerm、postedDate、page[size] 和 page[number] 检索；meta.lastPage 指示结束。</x:v>
      </x:c>
      <x:c r="E40" s="53" t="str">
        <x:v>API key 应放 X-Api-Key header 而非报告或日志；默认只监测 dockets/documents，不采集评论者个人数据，也不自动提交评论。Postman Vault 与 Allowed domain 的操作依据另见 P30。</x:v>
      </x:c>
    </x:row>
    <x:row r="41" ht="58" customHeight="1">
      <x:c r="A41" s="50" t="str">
        <x:v>D07</x:v>
      </x:c>
      <x:c r="B41" s="52" t="str">
        <x:v>SEC EDGAR APIs</x:v>
      </x:c>
      <x:c r="C41" s="52" t="str">
        <x:v>https://www.sec.gov/search-filings/edgar-application-programming-interfaces</x:v>
      </x:c>
      <x:c r="D41" s="52" t="str">
        <x:v>EDGAR filing 数据无需 key、实时更新，并提供 nightly bulk；公平访问上限为每秒 10 请求。</x:v>
      </x:c>
      <x:c r="E41" s="53" t="str">
        <x:v>必须使用可识别 User-Agent；仅作企业销售情报，不作投资建议。</x:v>
      </x:c>
    </x:row>
    <x:row r="42" ht="58" customHeight="1">
      <x:c r="A42" s="50" t="str">
        <x:v>D08</x:v>
      </x:c>
      <x:c r="B42" s="52" t="str">
        <x:v>Companies House API Get Started</x:v>
      </x:c>
      <x:c r="C42" s="52" t="str">
        <x:v>https://developer.company-information.service.gov.uk/get-started</x:v>
      </x:c>
      <x:c r="D42" s="52" t="str">
        <x:v>英国 Companies House 开发者入门页提供公司资料 REST API 的认证和调用入口。</x:v>
      </x:c>
      <x:c r="E42" s="53" t="str">
        <x:v>该链接只支持 API/认证事实；限额、免费快照和资料未验证需分别看 D21–D23。</x:v>
      </x:c>
    </x:row>
    <x:row r="43" ht="58" customHeight="1">
      <x:c r="A43" s="50" t="str">
        <x:v>D09</x:v>
      </x:c>
      <x:c r="B43" s="52" t="str">
        <x:v>EU Safety Gate 2025 report</x:v>
      </x:c>
      <x:c r="C43" s="52" t="str">
        <x:v>https://op.europa.eu/webpub/just/safety-gate-2025-report/en/</x:v>
      </x:c>
      <x:c r="D43" s="52" t="str">
        <x:v>2025 年 Safety Gate 记录 4,671 个警报和 5,794 个后续行动。</x:v>
      </x:c>
      <x:c r="E43" s="53" t="str">
        <x:v>匹配需人工确认并保留来源、日期与语言。</x:v>
      </x:c>
    </x:row>
    <x:row r="44" ht="58" customHeight="1">
      <x:c r="A44" s="50" t="str">
        <x:v>D10</x:v>
      </x:c>
      <x:c r="B44" s="52" t="str">
        <x:v>openFDA API authentication and limits</x:v>
      </x:c>
      <x:c r="C44" s="52" t="str">
        <x:v>https://open.fda.gov/apis/authentication/</x:v>
      </x:c>
      <x:c r="D44" s="52" t="str">
        <x:v>openFDA 认证页列出无 key 每 IP 每分钟 240 次/每日 1,000 次，有免费 key 每 key 每分钟 240 次/每日 120,000 次；但同页又有“key required”措辞，与 Food endpoint 的“不必提供 key”表述存在内部冲突。</x:v>
      </x:c>
      <x:c r="E44" s="53" t="str">
        <x:v>生产方案申请免费 key，上线日实测认证/配额并只用 HTTPS；不承诺无 key 永久可用，也不代替 FDA 安全决定。</x:v>
      </x:c>
    </x:row>
    <x:row r="45" ht="58" customHeight="1">
      <x:c r="A45" s="50" t="str">
        <x:v>D11</x:v>
      </x:c>
      <x:c r="B45" s="52" t="str">
        <x:v>CPSC Recalls API</x:v>
      </x:c>
      <x:c r="C45" s="52" t="str">
        <x:v>https://www.cpsc.gov/Recalls/CPSC-Recalls-Application-Program-Interface-API-Information?language=en</x:v>
      </x:c>
      <x:c r="D45" s="52" t="str">
        <x:v>CPSC 提供公开 JSON/XML 召回 API。</x:v>
      </x:c>
      <x:c r="E45" s="53" t="str">
        <x:v>该页未确认商业再分发边界；不得以“只卖筛选与分析”为由收费。若采用该源，必须在报价前取得书面许可分类，否则只用合成数据演示结构。</x:v>
      </x:c>
    </x:row>
    <x:row r="46" ht="58" customHeight="1">
      <x:c r="A46" s="50" t="str">
        <x:v>D12</x:v>
      </x:c>
      <x:c r="B46" s="52" t="str">
        <x:v>EPA ECHO web services</x:v>
      </x:c>
      <x:c r="C46" s="52" t="str">
        <x:v>https://echo.epa.gov/tools/web-services</x:v>
      </x:c>
      <x:c r="D46" s="52" t="str">
        <x:v>ECHO facilities 查询先返回 QueryID，再用 get_qid 分页取得 Facilities；RegistryID 才是稳定设施标识，可回链 Detailed Facility Report。当前窄范围只使用 FacDateLastInspection、FacDateLastFormalAction、FacDateLastPenalty。</x:v>
      </x:c>
      <x:c r="E46" s="53" t="str">
        <x:v>QueryID 只是查询会话，不能当 source ID；三个日期字段可能滞后，须按 [as_of-29d, as_of] 本地过滤，并以 RegistryID|event_type|event_date 去重；不能把日期信号表述为当前违法。</x:v>
      </x:c>
    </x:row>
    <x:row r="47" ht="58" customHeight="1">
      <x:c r="A47" s="50" t="str">
        <x:v>D13</x:v>
      </x:c>
      <x:c r="B47" s="52" t="str">
        <x:v>CFPB Consumer Complaint Database</x:v>
      </x:c>
      <x:c r="C47" s="52" t="str">
        <x:v>https://www.consumerfinance.gov/data-research/consumer-complaints/</x:v>
      </x:c>
      <x:c r="D47" s="52" t="str">
        <x:v>CFPB 允许自由使用 CSV/API 做分析；投诉叙述已脱敏，98% 被转交企业的投诉获得及时答复。</x:v>
      </x:c>
      <x:c r="E47" s="53" t="str">
        <x:v>投诉不是监管裁定，近期数据可能仍在审核。</x:v>
      </x:c>
    </x:row>
    <x:row r="48" ht="58" customHeight="1">
      <x:c r="A48" s="50" t="str">
        <x:v>D14</x:v>
      </x:c>
      <x:c r="B48" s="52" t="str">
        <x:v>Census Building Permits Survey</x:v>
      </x:c>
      <x:c r="C48" s="52" t="str">
        <x:v>https://www.census.gov/construction/bps/index.html</x:v>
      </x:c>
      <x:c r="D48" s="52" t="str">
        <x:v>Building Permits Survey 覆盖约 8,400 个许可地区，提供州、县、城市月度与年度住宅新建许可数据。</x:v>
      </x:c>
      <x:c r="E48" s="53" t="str">
        <x:v>仅覆盖住宅新建并存在修订和月度滞后。</x:v>
      </x:c>
    </x:row>
    <x:row r="49" ht="58" customHeight="1">
      <x:c r="A49" s="50" t="str">
        <x:v>D15</x:v>
      </x:c>
      <x:c r="B49" s="52" t="str">
        <x:v>U.S. Census International Trade API</x:v>
      </x:c>
      <x:c r="C49" s="52" t="str">
        <x:v>https://www.census.gov/data/developers/data-sets/international-trade.html</x:v>
      </x:c>
      <x:c r="D49" s="52" t="str">
        <x:v>Census International Trade 月度数据覆盖 2010 年至今，按月更新，提供美国进口/出口的 HS、国家、金额、数量、运输方式等字段；历史数据随每年 4 月统计发布修订。</x:v>
      </x:c>
      <x:c r="E49" s="53" t="str">
        <x:v>2026 年官方页面要求所有查询使用 API key；报告必须区分月值 GEN_VAL_MO 与年累计 GEN_VAL_YR，保存 LAST_UPDATE，并把美国进口额标为需求代理而非订单。</x:v>
      </x:c>
    </x:row>
    <x:row r="50" ht="58" customHeight="1">
      <x:c r="A50" s="50" t="str">
        <x:v>D16</x:v>
      </x:c>
      <x:c r="B50" s="52" t="str">
        <x:v>Visualping pricing</x:v>
      </x:c>
      <x:c r="C50" s="52" t="str">
        <x:v>https://visualping.io/pricing</x:v>
      </x:c>
      <x:c r="D50" s="52" t="str">
        <x:v>检查日 2026-09-01，Visualping 定价页显示免费计划每月 150 次检查/5 个页面，Business 20K 显示 140 美元/月，并提供视觉、文本或元素变化检测与摘要。</x:v>
      </x:c>
      <x:c r="E50" s="53" t="str">
        <x:v>价格页只证明市场上存在付费功能供给，不证明目标客户愿意购买本服务；付费意愿只能由 14 天预售试点和实际收款验证，购买前重查价格/周期。</x:v>
      </x:c>
    </x:row>
    <x:row r="51" ht="58" customHeight="1">
      <x:c r="A51" s="50" t="str">
        <x:v>D17</x:v>
      </x:c>
      <x:c r="B51" s="52" t="str">
        <x:v>Instrumentl pricing</x:v>
      </x:c>
      <x:c r="C51" s="52" t="str">
        <x:v>https://www.instrumentl.com/pricing</x:v>
      </x:c>
      <x:c r="D51" s="52" t="str">
        <x:v>Instrumentl 的 2026 年公开 Discover 计划为每月 299 美元（年付）或 349 美元（月付），包含机会匹配和截止日跟踪。</x:v>
      </x:c>
      <x:c r="E51" s="53" t="str">
        <x:v>这是单一竞品的公开价格和功能，不代表所有非营利组织的预算或购买意愿。</x:v>
      </x:c>
    </x:row>
    <x:row r="52" ht="58" customHeight="1">
      <x:c r="A52" s="50" t="str">
        <x:v>P01</x:v>
      </x:c>
      <x:c r="B52" s="52" t="str">
        <x:v>Canva Visual Economy Report 2024</x:v>
      </x:c>
      <x:c r="C52" s="52" t="str">
        <x:v>https://www.canva.com/newsroom/news/visual-economy-report-2024/</x:v>
      </x:c>
      <x:c r="D52" s="52" t="str">
        <x:v>3,700 名企业领导者调查中，77% 认为视觉沟通改善业务表现，90% 销售领导者认为其缩短销售周期。</x:v>
      </x:c>
      <x:c r="E52" s="53" t="str">
        <x:v>Canva 委托调查且是自报结果，不证明因果。</x:v>
      </x:c>
    </x:row>
    <x:row r="53" ht="58" customHeight="1">
      <x:c r="A53" s="50" t="str">
        <x:v>P02</x:v>
      </x:c>
      <x:c r="B53" s="52" t="str">
        <x:v>Canva products for sale rules</x:v>
      </x:c>
      <x:c r="C53" s="52" t="str">
        <x:v>https://www.canva.com/en_in/help/using-canva-to-create-products-for-sale/</x:v>
      </x:c>
      <x:c r="D53" s="52" t="str">
        <x:v>原创设计可售；包含 Pro Content 的可编辑模板应通过 Canva template link 交付。</x:v>
      </x:c>
      <x:c r="E53" s="53" t="str">
        <x:v>不得转售素材本身或未经授权的字体、照片与 IP。</x:v>
      </x:c>
    </x:row>
    <x:row r="54" ht="58" customHeight="1">
      <x:c r="A54" s="50" t="str">
        <x:v>P03</x:v>
      </x:c>
      <x:c r="B54" s="52" t="str">
        <x:v>Creative Market sales and analytics</x:v>
      </x:c>
      <x:c r="C54" s="52" t="str">
        <x:v>https://support.creativemarket.com/hc/en-us/articles/201193714-All-About-Shop-Sales-Analytics</x:v>
      </x:c>
      <x:c r="D54" s="52" t="str">
        <x:v>Creative Market 提供店铺销售和分析，默认卖家分成为 50%。</x:v>
      </x:c>
      <x:c r="E54" s="53" t="str">
        <x:v>需先申请 Shop；Day 1 只核验 KYC、税务和收款方式状态，达到最低余额后再验证到账。</x:v>
      </x:c>
    </x:row>
    <x:row r="55" ht="58" customHeight="1">
      <x:c r="A55" s="50" t="str">
        <x:v>P04</x:v>
      </x:c>
      <x:c r="B55" s="52" t="str">
        <x:v>Shopify App Store revenue share</x:v>
      </x:c>
      <x:c r="C55" s="52" t="str">
        <x:v>https://shopify.dev/docs/apps/launch/distribution/revenue-share</x:v>
      </x:c>
      <x:c r="D55" s="52" t="str">
        <x:v>Shopify App Store 一次性注册费为 19 美元；首个累计 100 万美元应用收入开发者保留 100%，另有 2.9% 处理费。</x:v>
      </x:c>
      <x:c r="E55" s="53" t="str">
        <x:v>公开上架前应先以单商家 custom app 或人工服务验证需求。</x:v>
      </x:c>
    </x:row>
    <x:row r="56" ht="58" customHeight="1">
      <x:c r="A56" s="50" t="str">
        <x:v>P05</x:v>
      </x:c>
      <x:c r="B56" s="52" t="str">
        <x:v>Shopify Translate &amp; Adapt Help</x:v>
      </x:c>
      <x:c r="C56" s="52" t="str">
        <x:v>https://help.shopify.com/en/manual/international/translate-adapt-app</x:v>
      </x:c>
      <x:c r="D56" s="52" t="str">
        <x:v>官方工具不翻译商品图片、tags、部分 metafields 与第三方内容，形成 QA 和差异审计缺口。</x:v>
      </x:c>
      <x:c r="E56" s="53" t="str">
        <x:v>应用不得承诺翻译正确率，需人工审批和最小权限。</x:v>
      </x:c>
    </x:row>
    <x:row r="57" ht="58" customHeight="1">
      <x:c r="A57" s="50" t="str">
        <x:v>P06</x:v>
      </x:c>
      <x:c r="B57" s="52" t="str">
        <x:v>Udemy 2026 Global Learning and Skills Trends</x:v>
      </x:c>
      <x:c r="C57" s="52" t="str">
        <x:v>https://business.udemy.com/2026-global-learning-skills-trends-report/</x:v>
      </x:c>
      <x:c r="D57" s="52" t="str">
        <x:v>GenAI 课程累计 1,100 万次报名；88% 员工认为领导力对 AI 转型关键，但仅 48% 认为经理已经准备好。</x:v>
      </x:c>
      <x:c r="E57" s="53" t="str">
        <x:v>企业学习数据不等于个人消费者付费转化。</x:v>
      </x:c>
    </x:row>
    <x:row r="58" ht="58" customHeight="1">
      <x:c r="A58" s="50" t="str">
        <x:v>P07</x:v>
      </x:c>
      <x:c r="B58" s="52" t="str">
        <x:v>Udemy instructor revenue share</x:v>
      </x:c>
      <x:c r="C58" s="52" t="str">
        <x:v>https://support.udemy.com/hc/en-us/articles/229605008-Instructor-Revenue-Share</x:v>
      </x:c>
      <x:c r="D58" s="52" t="str">
        <x:v>讲师推荐链接成交可得 97% 净额，平台自然成交为 37%；开户与托管免费。</x:v>
      </x:c>
      <x:c r="E58" s="53" t="str">
        <x:v>97% 与 37% 都基于 Udemy 定义的净额，税、退款、支付处理和平台规则会影响实际应计；课程质量与 AI 披露另由 P16、P33、P34 约束。</x:v>
      </x:c>
    </x:row>
    <x:row r="59" ht="58" customHeight="1">
      <x:c r="A59" s="50" t="str">
        <x:v>P08</x:v>
      </x:c>
      <x:c r="B59" s="52" t="str">
        <x:v>Amazon KDP earnings</x:v>
      </x:c>
      <x:c r="C59" s="52" t="str">
        <x:v>https://kdp.amazon.com/en_US/earn</x:v>
      </x:c>
      <x:c r="D59" s="52" t="str">
        <x:v>KDP 免费使用，电子书最高 70% 版税，纸书最高 60%，按需印刷无需库存。</x:v>
      </x:c>
      <x:c r="E59" s="53" t="str">
        <x:v>版税上限有价格和地区条件；AI 生成内容、图片、翻译必须申报。</x:v>
      </x:c>
    </x:row>
    <x:row r="60" ht="58" customHeight="1">
      <x:c r="A60" s="50" t="str">
        <x:v>P09</x:v>
      </x:c>
      <x:c r="B60" s="52" t="str">
        <x:v>KDP participating payment service providers</x:v>
      </x:c>
      <x:c r="C60" s="52" t="str">
        <x:v>https://kdp.amazon.com/en_US/help/topic/G6GLVRHVQZY4V4FX</x:v>
      </x:c>
      <x:c r="D60" s="52" t="str">
        <x:v>KDP 当前参与 PSP 包括 Payoneer、WorldFirst、PingPong、连连等可服务中国卖家的提供商。</x:v>
      </x:c>
      <x:c r="E60" s="53" t="str">
        <x:v>仍需真实身份、税务与 KYC；不得借用或伪造账户。</x:v>
      </x:c>
    </x:row>
    <x:row r="61" ht="58" customHeight="1">
      <x:c r="A61" s="50" t="str">
        <x:v>P10</x:v>
      </x:c>
      <x:c r="B61" s="52" t="str">
        <x:v>Patreon about and creator economy</x:v>
      </x:c>
      <x:c r="C61" s="52" t="str">
        <x:v>https://www.patreon.com/about</x:v>
      </x:c>
      <x:c r="D61" s="52" t="str">
        <x:v>Patreon 披露超过 30 万创作者、1,000 万月付费粉丝，累计向创作者支付超过 100 亿美元。</x:v>
      </x:c>
      <x:c r="E61" s="53" t="str">
        <x:v>平台总量不代表新会员自然获客。</x:v>
      </x:c>
    </x:row>
    <x:row r="62" ht="58" customHeight="1">
      <x:c r="A62" s="50" t="str">
        <x:v>P11</x:v>
      </x:c>
      <x:c r="B62" s="52" t="str">
        <x:v>Patreon payouts outside the US</x:v>
      </x:c>
      <x:c r="C62" s="52" t="str">
        <x:v>https://support.patreon.com/hc/en-us/articles/39694936541965-Payouts-guide-for-creators-outside-of-the-US</x:v>
      </x:c>
      <x:c r="D62" s="52" t="str">
        <x:v>Patreon 的境外创作者收款指南列有中国 CNY 本地转账；USD 余额跨币种转入本地银行按每次整笔提现 US$0.25 加 1.55% 收费。</x:v>
      </x:c>
      <x:c r="E62" s="53" t="str">
        <x:v>该 1.55%+US$0.25 是提现级费用，不是每笔成员订单费用；成员支付币种与创作者 payout currency 不同时才可能逐笔产生 2.5% 换汇费。先用真实资料完成设置，首笔余额后再验证到账。</x:v>
      </x:c>
    </x:row>
    <x:row r="63" ht="58" customHeight="1">
      <x:c r="A63" s="50" t="str">
        <x:v>P12</x:v>
      </x:c>
      <x:c r="B63" s="52" t="str">
        <x:v>Shopify Digital Products app listing</x:v>
      </x:c>
      <x:c r="C63" s="52" t="str">
        <x:v>https://apps.shopify.com/digital-downloads</x:v>
      </x:c>
      <x:c r="D63" s="52" t="str">
        <x:v>Shopify 官方应用当前显示为 Digital Products；应用页约有 1,000 条以上评论，近期评论直接提到发布日需求和附件绑定可见性问题。</x:v>
      </x:c>
      <x:c r="E63" s="53" t="str">
        <x:v>应用评论是具体问题线索而非独立市场规模；功能、评分和评论数会变化，执行前应重查。</x:v>
      </x:c>
    </x:row>
    <x:row r="64" ht="58" customHeight="1">
      <x:c r="A64" s="50" t="str">
        <x:v>P13</x:v>
      </x:c>
      <x:c r="B64" s="52" t="str">
        <x:v>Creative Market Listing a New Product</x:v>
      </x:c>
      <x:c r="C64" s="52" t="str">
        <x:v>https://support.creativemarket.com/hc/en-us/articles/360000905593-Listing-a-New-Product</x:v>
      </x:c>
      <x:c r="D64" s="52" t="str">
        <x:v>Creative Market 上架流程要求上传可购买后交付的产品文件；平台建议多文件用 ZIP，并由平台向买家展示其购买的许可。</x:v>
      </x:c>
      <x:c r="E64" s="53" t="str">
        <x:v>Add a Product 不是未完成商品的预售入口；上架前必须有可立即交付的完整文件和真实预览。</x:v>
      </x:c>
    </x:row>
    <x:row r="65" ht="58" customHeight="1">
      <x:c r="A65" s="50" t="str">
        <x:v>P14</x:v>
      </x:c>
      <x:c r="B65" s="52" t="str">
        <x:v>Creative Market What am I allowed to sell</x:v>
      </x:c>
      <x:c r="C65" s="52" t="str">
        <x:v>https://support.creativemarket.com/hc/en-us/articles/201193604-What-am-I-allowed-to-sell</x:v>
      </x:c>
      <x:c r="D65" s="52" t="str">
        <x:v>Creative Market 要求卖家是所售数字资产的唯一创作者，所列资产属于卖家的独占知识产权且不得侵犯第三方权利。</x:v>
      </x:c>
      <x:c r="E65" s="53" t="str">
        <x:v>在其他渠道可合法使用的图库、字体或 Canva 库素材，不自动满足 Creative Market 的上架权利要求。</x:v>
      </x:c>
    </x:row>
    <x:row r="66" ht="58" customHeight="1">
      <x:c r="A66" s="50" t="str">
        <x:v>P15</x:v>
      </x:c>
      <x:c r="B66" s="52" t="str">
        <x:v>Creative Market Shop Owner Guide to Taxes and Payouts</x:v>
      </x:c>
      <x:c r="C66" s="52" t="str">
        <x:v>https://support.creativemarket.com/hc/en-us/articles/115004015634-Shop-Owner-Guide-to-Taxes-Payouts</x:v>
      </x:c>
      <x:c r="D66" s="52" t="str">
        <x:v>Creative Market 一般最低可申请 20 美元；若选本币付款，通常需等值 1,030 美元，且具体阈值随币种变化。转换本币可有 2.5% FX 费，税务/支持材料审核最长可约 7 个工作日。</x:v>
      </x:c>
      <x:c r="E66" s="53" t="str">
        <x:v>新店无销售余额时不能测提现。Day 1 只核验真实身份、税务、可用付款币种和当前账号显示的阈值；不得伪造付款国家或银行。</x:v>
      </x:c>
    </x:row>
    <x:row r="67" ht="58" customHeight="1">
      <x:c r="A67" s="50" t="str">
        <x:v>P16</x:v>
      </x:c>
      <x:c r="B67" s="52" t="str">
        <x:v>Udemy course quality checklist</x:v>
      </x:c>
      <x:c r="C67" s="52" t="str">
        <x:v>https://support.udemy.com/hc/en-us/articles/229604988-Udemy-course-quality-checklist</x:v>
      </x:c>
      <x:c r="D67" s="52" t="str">
        <x:v>Udemy 课程发布的最低要求包括至少 30 分钟视频、5 个独立讲座、720p/1080p 画质、合格音频和完整课程落地页。</x:v>
      </x:c>
      <x:c r="E67" s="53" t="str">
        <x:v>15 分钟样课不能提交审核；直播试销必须走独立、合法的服务合同或售票渠道。</x:v>
      </x:c>
    </x:row>
    <x:row r="68" ht="58" customHeight="1">
      <x:c r="A68" s="50" t="str">
        <x:v>P17</x:v>
      </x:c>
      <x:c r="B68" s="52" t="str">
        <x:v>Udemy Instructor Payment Overview</x:v>
      </x:c>
      <x:c r="C68" s="52" t="str">
        <x:v>https://support.udemy.com/hc/en-us/articles/229604008-Instructor-Payment-Overview</x:v>
      </x:c>
      <x:c r="D68" s="52" t="str">
        <x:v>Udemy 付费报名在第 1 月产生后，第 1–2 月处理退款和调整，通常第 3 月付款；应付款余额须达到 25 美元。</x:v>
      </x:c>
      <x:c r="E68" s="53" t="str">
        <x:v>30 天实验只能验证订单和应计讲师收入，不能把尚未到账金额写成现金回款。</x:v>
      </x:c>
    </x:row>
    <x:row r="69" ht="58" customHeight="1">
      <x:c r="A69" s="50" t="str">
        <x:v>P18</x:v>
      </x:c>
      <x:c r="B69" s="52" t="str">
        <x:v>KDP Setting up pre-orders</x:v>
      </x:c>
      <x:c r="C69" s="52" t="str">
        <x:v>https://kdp.amazon.com/en_US/help/topic/G201575300</x:v>
      </x:c>
      <x:c r="D69" s="52" t="str">
        <x:v>KDP 预售适用于新 Kindle eBook；需在 Bookshelf 创建 eBook、选择预售日期，并在提交截止前上传终稿和提交审核。</x:v>
      </x:c>
      <x:c r="E69" s="53" t="str">
        <x:v>KDP 不代为交付站外人民币 PDF beta；错过预售提交期限可能导致取消和一年内无法新建预售。</x:v>
      </x:c>
    </x:row>
    <x:row r="70" ht="58" customHeight="1">
      <x:c r="A70" s="50" t="str">
        <x:v>P19</x:v>
      </x:c>
      <x:c r="B70" s="52" t="str">
        <x:v>KDP Promoting Your Book and Getting Paid</x:v>
      </x:c>
      <x:c r="C70" s="52" t="str">
        <x:v>https://kdp.amazon.com/en_US/help/topic/G202187870</x:v>
      </x:c>
      <x:c r="D70" s="52" t="str">
        <x:v>达到付款阈值后，KDP 通常在销售报告月份结束约 60 天后按月支付版税；扩展分销约 90 天。</x:v>
      </x:c>
      <x:c r="E70" s="53" t="str">
        <x:v>预售期只能在 Pre-Order Report 核验净预售单；交付日后才能进入版税报告口径。电子书还需按交付费、地区、退单与税务计算实际收入。</x:v>
      </x:c>
    </x:row>
    <x:row r="71" ht="58" customHeight="1">
      <x:c r="A71" s="50" t="str">
        <x:v>P20</x:v>
      </x:c>
      <x:c r="B71" s="52" t="str">
        <x:v>Patreon supported currencies</x:v>
      </x:c>
      <x:c r="C71" s="52" t="str">
        <x:v>https://support.patreon.com/hc/en-gb/articles/360039589091-Patreon-s-supported-currencies</x:v>
      </x:c>
      <x:c r="D71" s="52" t="str">
        <x:v>Patreon 当前可定价和收款的货币包括 USD、EUR、GBP、CAD、AUD、HKD 等，但不包括 CNY；成员付款币种不同于创作者 payout currency 时可产生 2.5% 换汇费。</x:v>
      </x:c>
      <x:c r="E71" s="53" t="str">
        <x:v>中国银行以 CNY 到账不等于可以用 CNY 建 tier；本报告统一假设创作者/成员都用 USD，因此不逐单计 2.5%，人民币只作模型换算。</x:v>
      </x:c>
    </x:row>
    <x:row r="72" ht="58" customHeight="1">
      <x:c r="A72" s="50" t="str">
        <x:v>P21</x:v>
      </x:c>
      <x:c r="B72" s="52" t="str">
        <x:v>Patreon standard platform fee for new creators</x:v>
      </x:c>
      <x:c r="C72" s="52" t="str">
        <x:v>https://support.patreon.com/hc/en-gb/articles/36426991446797-A-standard-platform-fee-for-new-creators-effective-after-4-August-2025</x:v>
      </x:c>
      <x:c r="D72" s="52" t="str">
        <x:v>2025-08-04 后发布页面的新创作者适用 10% 标准平台费。标准 USD 信用卡/Apple Pay 处理费示例为 2.9% + US$0.30/笔；非美国 PayPal/Venmo 可为 3.9% + US$0.30，跨币种还可有 2.5% FX 费。</x:v>
      </x:c>
      <x:c r="E72" s="53" t="str">
        <x:v>本报告统一假设创作者/成员均用 USD 且网页信用卡/Apple Pay，故单笔提现前可计收入为“售价×87.1% - US$0.30”（10%+2.9%）；不逐笔计 2.5% FX。转中国 CNY 本地银行时另按整笔提现扣 1.55%+US$0.25。税、退款、拒付、iOS 和实际费用以 Earnings 替换。</x:v>
      </x:c>
    </x:row>
    <x:row r="73" ht="58" customHeight="1">
      <x:c r="A73" s="50" t="str">
        <x:v>P22</x:v>
      </x:c>
      <x:c r="B73" s="52" t="str">
        <x:v>Upwork Direct to Local Bank</x:v>
      </x:c>
      <x:c r="C73" s="52" t="str">
        <x:v>https://support.upwork.com/hc/en-us/articles/211063888-How-to-withdraw-earnings-with-Direct-to-Local-Bank</x:v>
      </x:c>
      <x:c r="D73" s="52" t="str">
        <x:v>Upwork Direct to Local Bank 支持中国 CNY，每次提现费 0.99 美元；新收款方式为安全需 3 天激活，提现后通常 4 天内到银行。</x:v>
      </x:c>
      <x:c r="E73" s="53" t="str">
        <x:v>姓名必须与 Upwork 验证身份一致，银行限制/费用可另行适用。Day 1 只验证 Account settings &gt; Withdrawals &gt; Add a method &gt; Set up 的真实可用状态，不伪造地区或到账。</x:v>
      </x:c>
    </x:row>
    <x:row r="74" ht="58" customHeight="1">
      <x:c r="A74" s="50" t="str">
        <x:v>P23</x:v>
      </x:c>
      <x:c r="B74" s="52" t="str">
        <x:v>Upwork fixed-price and Project Catalog payments</x:v>
      </x:c>
      <x:c r="C74" s="52" t="str">
        <x:v>https://support.upwork.com/hc/en-us/articles/211063718-How-payments-for-milestones-and-fixed-price-contracts-work</x:v>
      </x:c>
      <x:c r="D74" s="52" t="str">
        <x:v>Upwork fixed-price 里程碑/项目需客户先注资；提交后客户最长可审核 14 天，批准或自动释放后再有 5 天安全期才可提现。</x:v>
      </x:c>
      <x:c r="E74" s="53" t="str">
        <x:v>已注资只证明付费意愿，不等于技术验收、可提现余额或银行到账。核心工作不用 bonus 代替；每个里程碑的交付和金额必须先写清。</x:v>
      </x:c>
    </x:row>
    <x:row r="75" ht="58" customHeight="1">
      <x:c r="A75" s="50" t="str">
        <x:v>P24</x:v>
      </x:c>
      <x:c r="B75" s="52" t="str">
        <x:v>KDP Pre-order pricing and sales reports</x:v>
      </x:c>
      <x:c r="C75" s="52" t="str">
        <x:v>https://kdp.amazon.com/en_US/help/topic/G201499400</x:v>
      </x:c>
      <x:c r="D75" s="52" t="str">
        <x:v>KDP Pre-Order Report 在下单时更新预售数、取消和净预售数；预售数据要等 eBook 在发行日交付后才出现在版税报告。</x:v>
      </x:c>
      <x:c r="E75" s="53" t="str">
        <x:v>发行前的 30 天验证只写“净预售单”，不写应计版税。发行后再按实际售价、交付费、取消和报表计版税。</x:v>
      </x:c>
    </x:row>
    <x:row r="76" ht="58" customHeight="1">
      <x:c r="A76" s="50" t="str">
        <x:v>P25</x:v>
      </x:c>
      <x:c r="B76" s="52" t="str">
        <x:v>Shopify Digital Products help</x:v>
      </x:c>
      <x:c r="C76" s="52" t="str">
        <x:v>https://help.shopify.com/en/manual/products/digital-service-product/digital-downloads</x:v>
      </x:c>
      <x:c r="D76" s="52" t="str">
        <x:v>Shopify 官方应用当前名为 Digital Products，主区为 Dashboard、Orders 和 Settings；Dashboard 点击商品后在 Digital Products block 管理数字文件，Orders 内打开订单可 Resend download email。</x:v>
      </x:c>
      <x:c r="E76" s="53" t="str">
        <x:v>文件替换/删除可影响既有买家链接。审计必须逐 variant 核对资产、版本、attachment status、fulfillment 和 download limit，并保留客户批准。</x:v>
      </x:c>
    </x:row>
    <x:row r="77" ht="58" customHeight="1">
      <x:c r="A77" s="50" t="str">
        <x:v>P26</x:v>
      </x:c>
      <x:c r="B77" s="52" t="str">
        <x:v>Shopify placing a test order</x:v>
      </x:c>
      <x:c r="C77" s="52" t="str">
        <x:v>https://help.shopify.com/en/manual/checkout-settings/test-orders</x:v>
      </x:c>
      <x:c r="D77" s="52" t="str">
        <x:v>Shopify 明确提醒：Shopify Payments 的 Test mode 路径是 Settings &gt; Payments &gt; Shopify Payments &gt; Manage &gt; Test mode；启用时真实客户不能下单，测试单不进入 payout 或正常报表。</x:v>
      </x:c>
      <x:c r="E77" s="53" t="str">
        <x:v>只能在客户书面批准的低流量连续维护窗口启用 test mode，一次完成全部测试后立即关闭并确认恢复真实结账。</x:v>
      </x:c>
    </x:row>
    <x:row r="78" ht="58" customHeight="1">
      <x:c r="A78" s="50" t="str">
        <x:v>P27</x:v>
      </x:c>
      <x:c r="B78" s="52" t="str">
        <x:v>Upwork submit work and milestones</x:v>
      </x:c>
      <x:c r="C78" s="52" t="str">
        <x:v>https://support.upwork.com/hc/en-us/articles/211068368-How-to-submit-work-and-milestones-to-your-client</x:v>
      </x:c>
      <x:c r="D78" s="52" t="str">
        <x:v>固定价工作完成后，自由职业者必须从 Deliver work &gt; Your active contracts 打开合同并点击 Submit work，写明交付并附文件，才会启动客户审核流程。</x:v>
      </x:c>
      <x:c r="E78" s="53" t="str">
        <x:v>只交 Drive/邮件不等于向 Upwork 提交；多里程碑合同每段都要提交当前已注资里程碑、等客户批准并注资下一段后再继续。</x:v>
      </x:c>
    </x:row>
    <x:row r="79" ht="58" customHeight="1">
      <x:c r="A79" s="50" t="str">
        <x:v>P28</x:v>
      </x:c>
      <x:c r="B79" s="52" t="str">
        <x:v>Upwork track earnings status</x:v>
      </x:c>
      <x:c r="C79" s="52" t="str">
        <x:v>https://support.upwork.com/hc/en-us/articles/211068418-How-to-track-the-status-of-your-earnings-on-Upwork</x:v>
      </x:c>
      <x:c r="D79" s="52" t="str">
        <x:v>当前收益状态入口为 Manage finances &gt; Financial overview，也可在 Manage finances &gt; Transactions 查看明细；状态区分 work in progress、in review、pending 和 available。</x:v>
      </x:c>
      <x:c r="E79" s="53" t="str">
        <x:v>Funded、submitted、approved、pending、available、withdrawn 和 bank-arrived 必须分开记录；只有 bank-arrived 才是银行到账。</x:v>
      </x:c>
    </x:row>
    <x:row r="80" ht="58" customHeight="1">
      <x:c r="A80" s="50" t="str">
        <x:v>P29</x:v>
      </x:c>
      <x:c r="B80" s="52" t="str">
        <x:v>Upwork local currency and USD listing</x:v>
      </x:c>
      <x:c r="C80" s="52" t="str">
        <x:v>https://support.upwork.com/hc/en-us/articles/211068028-How-to-pay-in-your-local-currency</x:v>
      </x:c>
      <x:c r="D80" s="52" t="str">
        <x:v>Upwork 官方说明所有成本以 USD 列示；部分客户付款时可看到本币换算，但显示汇率只是估计，最终扣款以交易记录为准。</x:v>
      </x:c>
      <x:c r="E80" s="53" t="str">
        <x:v>自由职业者必须在 Project Catalog Price、offer 和 milestone 输入 USD；人民币只作报告换算假设，实际 CNY 到账由支付伙伴汇率和费用决定。</x:v>
      </x:c>
    </x:row>
    <x:row r="81" ht="58" customHeight="1">
      <x:c r="A81" s="50" t="str">
        <x:v>P30</x:v>
      </x:c>
      <x:c r="B81" s="52" t="str">
        <x:v>Postman Vault secrets</x:v>
      </x:c>
      <x:c r="C81" s="52" t="str">
        <x:v>https://learning.postman.com/docs/use/postman-vault/use-vault-secrets</x:v>
      </x:c>
      <x:c r="D81" s="52" t="str">
        <x:v>Postman v12 可在 Local Vault 保存 API key，并用 `{{vault:secret-name}}` 在 Params 等请求字段直接引用；Vault 值运行时解析，不暴露在 collection 或 request 中。</x:v>
      </x:c>
      <x:c r="E81" s="53" t="str">
        <x:v>为 secret 设置 allowed domain；Census key 仅允许 api.census.gov。不要 Share、截图、导出已解析值或把含 key 的完整 URL 写入报告/日志。</x:v>
      </x:c>
    </x:row>
    <x:row r="82" ht="58" customHeight="1">
      <x:c r="A82" s="50" t="str">
        <x:v>P31</x:v>
      </x:c>
      <x:c r="B82" s="52" t="str">
        <x:v>Upwork eligibility to propose a new contract</x:v>
      </x:c>
      <x:c r="C82" s="52" t="str">
        <x:v>https://support.upwork.com/hc/en-us/articles/115006647007-How-to-propose-a-new-contract</x:v>
      </x:c>
      <x:c r="D82" s="52" t="str">
        <x:v>自由职业者只能向已至少付过一次款的当前/既往客户，或主动从有效 Project Catalog 项目发消息的潜在客户提出新合同。</x:v>
      </x:c>
      <x:c r="E82" s="53" t="str">
        <x:v>普通职位申请不能由卖方直接 Propose new contract；应 Apply 后等待客户发送 Offer，并先核验 fixed-price 当前里程碑已 Active/Funded。</x:v>
      </x:c>
    </x:row>
    <x:row r="83" ht="58" customHeight="1">
      <x:c r="A83" s="50" t="str">
        <x:v>P32</x:v>
      </x:c>
      <x:c r="B83" s="52" t="str">
        <x:v>Upwork fixed-price milestone requirements</x:v>
      </x:c>
      <x:c r="C83" s="52" t="str">
        <x:v>https://support.upwork.com/hc/en-us/articles/211068218-How-to-use-milestones-in-fixed-price-jobs</x:v>
      </x:c>
      <x:c r="D83" s="52" t="str">
        <x:v>固定价里程碑开始前应写清金额、交付物与截止日；每次只能注资一个里程碑，当前段释放后才能激活并注资下一段。</x:v>
      </x:c>
      <x:c r="E83" s="53" t="str">
        <x:v>卖方不能替客户点击 Fund；每段只在 Active/Funded 后开工，完成后从 Deliver work 提交，等批准并看到下一段 Active/Funded 才继续。</x:v>
      </x:c>
    </x:row>
    <x:row r="84" ht="58" customHeight="1">
      <x:c r="A84" s="50" t="str">
        <x:v>P33</x:v>
      </x:c>
      <x:c r="B84" s="52" t="str">
        <x:v>Udemy Course Quality Checklist: Use of AI</x:v>
      </x:c>
      <x:c r="C84" s="52" t="str">
        <x:v>https://support.udemy.com/hc/en-us/articles/30999984483607-Course-Quality-Checklist-Use-of-AI</x:v>
      </x:c>
      <x:c r="D84" s="52" t="str">
        <x:v>Udemy 允许以 AI/TTS 辅助高质量课程，但不接受完全由 AI 生成、缺乏讲师专业参与或包含低质量、误导、不完整材料的课程；讲师对准确性、人工审阅和成品质量负责。</x:v>
      </x:c>
      <x:c r="E84" s="53" t="str">
        <x:v>AI 只能支持而不能替代讲师专长；AI 使用还必须按课程描述规则披露，批量低质生成可能导致拒审、下架或账号处罚。</x:v>
      </x:c>
    </x:row>
    <x:row r="85" ht="58" customHeight="1">
      <x:c r="A85" s="50" t="str">
        <x:v>P34</x:v>
      </x:c>
      <x:c r="B85" s="52" t="str">
        <x:v>Udemy course description rules for AI disclosure</x:v>
      </x:c>
      <x:c r="C85" s="52" t="str">
        <x:v>https://support.udemy.com/hc/en-us/articles/33490280024087-Course-description-Rules-and-guidelines</x:v>
      </x:c>
      <x:c r="D85" s="52" t="str">
        <x:v>若课程内容或制作过程使用了需要披露的 AI，Udemy 要求课程描述以精确句子“This course contains the use of artificial intelligence.”开头。</x:v>
      </x:c>
      <x:c r="E85" s="53" t="str">
        <x:v>是否需要披露应按页面列出的脚本、图像、音视频、代码、翻译和测验等用途判断；披露不替代准确性、权利和质量审核。</x:v>
      </x:c>
    </x:row>
    <x:row r="86" ht="58" customHeight="1">
      <x:c r="A86" s="50" t="str">
        <x:v>P35</x:v>
      </x:c>
      <x:c r="B86" s="52" t="str">
        <x:v>Upwork direct offers from clients</x:v>
      </x:c>
      <x:c r="C86" s="52" t="str">
        <x:v>https://support.upwork.com/hc/en-us/articles/30113729524499-How-direct-offers-from-clients-work-on-Upwork</x:v>
      </x:c>
      <x:c r="D86" s="52" t="str">
        <x:v>自由职业者收到客户 Offer 后，可从 Messages 打开对应会话，依次选择 View offer，再选择 Accept offer、Request changes 或 Decline offer；接受前可以协商范围、价格和期限。</x:v>
      </x:c>
      <x:c r="E86" s="53" t="str">
        <x:v>普通职位仍需先 Apply 并等待客户发 Offer；接受后还要核验 fixed-price 当前里程碑/订单为 Active/Funded，卖方不能替客户点击 Fund。</x:v>
      </x:c>
    </x:row>
    <x:row r="87" ht="58" customHeight="1">
      <x:c r="A87" s="50" t="str">
        <x:v>D18</x:v>
      </x:c>
      <x:c r="B87" s="52" t="str">
        <x:v>Grants.gov Subscribe to Saved Searches</x:v>
      </x:c>
      <x:c r="C87" s="52" t="str">
        <x:v>https://www.grants.gov/help/connect/subscribe-to-saved-searches</x:v>
      </x:c>
      <x:c r="D87" s="52" t="str">
        <x:v>登录 Grants.gov 后可按 funding instrument、eligibility、sub-agency 等条件保存搜索并接收机会邮件通知，也可查看、修改或删除搜索。</x:v>
      </x:c>
      <x:c r="E87" s="53" t="str">
        <x:v>官方提醒只做条件匹配；付费服务必须增加组织级资格复核、材料缺口、垂直筛选或双语解释。</x:v>
      </x:c>
    </x:row>
    <x:row r="88" ht="58" customHeight="1">
      <x:c r="A88" s="50" t="str">
        <x:v>D19</x:v>
      </x:c>
      <x:c r="B88" s="52" t="str">
        <x:v>Visualping Terms of Service</x:v>
      </x:c>
      <x:c r="C88" s="52" t="str">
        <x:v>https://visualping.io/terms</x:v>
      </x:c>
      <x:c r="D88" s="52" t="str">
        <x:v>Visualping 的使用许可有限且不可再许可；条款禁止未经书面授权转售服务或网站材料的全部或一部分。</x:v>
      </x:c>
      <x:c r="E88" s="53" t="str">
        <x:v>客户应使用自有账号并直接接受条款；服务商只卖配置和独立分析。白标、共享原始告警或规模化代运营应先取得书面许可。</x:v>
      </x:c>
    </x:row>
    <x:row r="89" ht="58" customHeight="1">
      <x:c r="A89" s="50" t="str">
        <x:v>D20</x:v>
      </x:c>
      <x:c r="B89" s="52" t="str">
        <x:v>openFDA Food Enforcement endpoint</x:v>
      </x:c>
      <x:c r="C89" s="52" t="str">
        <x:v>https://open.fda.gov/apis/food/enforcement/how-to-use-the-endpoint/</x:v>
      </x:c>
      <x:c r="D89" s="52" t="str">
        <x:v>Food Enforcement 基础端点支持 report_date 范围、recall_number 精确检索、sort、limit 与 skip；单次 limit 最大 1,000、skip 最大 25,000。</x:v>
      </x:c>
      <x:c r="E89" s="53" t="str">
        <x:v>响应不存在稳定 source_url 字段，必须用 recall_number 构造无 key 官方查询回链；该数据不应用于面向公众发布警报或自动跟踪召回生命周期。</x:v>
      </x:c>
    </x:row>
    <x:row r="90" ht="58" customHeight="1">
      <x:c r="A90" s="50" t="str">
        <x:v>D21</x:v>
      </x:c>
      <x:c r="B90" s="52" t="str">
        <x:v>Companies House developer guidelines</x:v>
      </x:c>
      <x:c r="C90" s="52" t="str">
        <x:v>https://developer.company-information.service.gov.uk/developer-guidelines/</x:v>
      </x:c>
      <x:c r="D90" s="52" t="str">
        <x:v>Companies House 开发者指南列出默认 API 限额为每 5 分钟 600 次请求。</x:v>
      </x:c>
      <x:c r="E90" s="53" t="str">
        <x:v>限额可变；必须做低频、缓存、指数退避，不得为绕限额轮换密钥。</x:v>
      </x:c>
    </x:row>
    <x:row r="91" ht="58" customHeight="1">
      <x:c r="A91" s="50" t="str">
        <x:v>D22</x:v>
      </x:c>
      <x:c r="B91" s="52" t="str">
        <x:v>Companies House data products</x:v>
      </x:c>
      <x:c r="C91" s="52" t="str">
        <x:v>https://www.gov.uk/guidance/companies-house-data-products</x:v>
      </x:c>
      <x:c r="D91" s="52" t="str">
        <x:v>Companies House 提供免费的 live companies 月度 CSV 快照；数据编制截至上月末，并通常在月末后 5 个工作日内发布。</x:v>
      </x:c>
      <x:c r="E91" s="53" t="str">
        <x:v>月度快照不是实时成立公司 feed；使用者仍须自行核验数据保护、版权与适用法律，本方案的 14 天样本优先用官方搜索/API并标取得日。</x:v>
      </x:c>
    </x:row>
    <x:row r="92" ht="58" customHeight="1">
      <x:c r="A92" s="50" t="str">
        <x:v>D23</x:v>
      </x:c>
      <x:c r="B92" s="52" t="str">
        <x:v>Companies House disclaimer</x:v>
      </x:c>
      <x:c r="C92" s="52" t="str">
        <x:v>https://resources.companieshouse.gov.uk/disclaimer.shtml</x:v>
      </x:c>
      <x:c r="D92" s="52" t="str">
        <x:v>Companies House 声明对提交信息不作全面验证，用户不应把登记资料当成已核实商业事实。</x:v>
      </x:c>
      <x:c r="E92" s="53" t="str">
        <x:v>每条交付必须保留官方记录链接/查询日并标“未独立验证”；不得以此推断信用、营业或联系同意。</x:v>
      </x:c>
    </x:row>
    <x:row r="93" ht="58" customHeight="1">
      <x:c r="A93" s="50" t="str">
        <x:v>D24</x:v>
      </x:c>
      <x:c r="B93" s="52" t="str">
        <x:v>USAspending Spending by Award API contract</x:v>
      </x:c>
      <x:c r="C93" s="52" t="str">
        <x:v>https://github.com/fedspendingtransparency/usaspending-api/blob/master/usaspending_api/api_contracts/contracts/v2/search/spending_by_award.md</x:v>
      </x:c>
      <x:c r="D93" s="52" t="str">
        <x:v>官方 API contract 给出 spending_by_award POST body、允许 fields、sort/order、limit/page 与 page_metadata.hasNext。</x:v>
      </x:c>
      <x:c r="E93" s="53" t="str">
        <x:v>generated_internal_id 可用于 USAspending award 回链；字段和 award type code 必须按当前 contract 复核，续约窗口是分析推断。</x:v>
      </x:c>
    </x:row>
    <x:row r="94" ht="58" customHeight="1">
      <x:c r="A94" s="50" t="str">
        <x:v>D25</x:v>
      </x:c>
      <x:c r="B94" s="52" t="str">
        <x:v>TED Search API pagination and expert search</x:v>
      </x:c>
      <x:c r="C94" s="52" t="str">
        <x:v>https://docs.ted.europa.eu/ODS/latest/reuse/search-api.html</x:v>
      </x:c>
      <x:c r="D94" s="52" t="str">
        <x:v>官方分页说明区分 PAGE_NUMBER 与 ITERATION，ITERATION 使用 iterationNextToken；expert search 语法支持字段条件组合。</x:v>
      </x:c>
      <x:c r="E94" s="53" t="str">
        <x:v>checkQuerySyntax=true 只用于语法检查；真正取数改回 false，并优先保存响应中的 links.html 官方回链。</x:v>
      </x:c>
    </x:row>
    <x:row r="95" ht="58" customHeight="1">
      <x:c r="A95" s="50" t="str">
        <x:v>D26</x:v>
      </x:c>
      <x:c r="B95" s="52" t="str">
        <x:v>openFDA downloadable files metadata</x:v>
      </x:c>
      <x:c r="C95" s="52" t="str">
        <x:v>https://api.fda.gov/download.json</x:v>
      </x:c>
      <x:c r="D95" s="52" t="str">
        <x:v>官方 download.json 暴露 food.enforcement 的 export_date 与全部 partitions 文件，可用于完整快照比较。</x:v>
      </x:c>
      <x:c r="E95" s="53" t="str">
        <x:v>数据可能回修；export_date 变化时应比较完整快照，新键、变更键和消失键要分别标 NEW_RECORD、FDA_DATA_REVISED、NEEDS_HUMAN。</x:v>
      </x:c>
    </x:row>
    <x:row r="96" ht="58" customHeight="1">
      <x:c r="A96" s="50" t="str">
        <x:v>D27</x:v>
      </x:c>
      <x:c r="B96" s="52" t="str">
        <x:v>Census Data API Terms of Service</x:v>
      </x:c>
      <x:c r="C96" s="52" t="str">
        <x:v>https://www.census.gov/data/developers/about/terms-of-service.html</x:v>
      </x:c>
      <x:c r="D96" s="52" t="str">
        <x:v>官方条款明确允许用 Census API 开发搜索、展示、分析、检索和查看 Census 数据的服务，并要求使用 API 的服务显著显示不获 Census 背书的声明。</x:v>
      </x:c>
      <x:c r="E96" s="53" t="str">
        <x:v>不得暗示 Census 背书、歪曲数据或绕过访问限制；应用/报告应展示规定声明并遵守隐私和适用法律。</x:v>
      </x:c>
    </x:row>
    <x:row r="97" ht="58" customHeight="1">
      <x:c r="A97" s="50" t="str">
        <x:v>D29</x:v>
      </x:c>
      <x:c r="B97" s="52" t="str">
        <x:v>Census API time predicates</x:v>
      </x:c>
      <x:c r="C97" s="52" t="str">
        <x:v>https://www.census.gov/data/developers/guidance/api-user-guide.Core_Concepts.html</x:v>
      </x:c>
      <x:c r="D97" s="52" t="str">
        <x:v>官方 User Guide 支持 `time=from+YYYY-MM+to+YYYY-MM` 时间范围语法。</x:v>
      </x:c>
      <x:c r="E97" s="53" t="str">
        <x:v>该页只证明时间谓词语法；imports/hs 字段定义见 D30，Schedule C 国家代码见 D31。</x:v>
      </x:c>
    </x:row>
    <x:row r="98" ht="58" customHeight="1">
      <x:c r="A98" s="50" t="str">
        <x:v>D30</x:v>
      </x:c>
      <x:c r="B98" s="52" t="str">
        <x:v>Census International Trade imports/hs variables</x:v>
      </x:c>
      <x:c r="C98" s="52" t="str">
        <x:v>https://api.census.gov/data/timeseries/intltrade/imports/hs/variables.html</x:v>
      </x:c>
      <x:c r="D98" s="52" t="str">
        <x:v>官方变量表定义 I_COMMODITY 为 2/4/6/10 位进口 Harmonized Code、GEN_VAL_MO 为月度一般进口总额、GEN_VAL_YR 为年累计一般进口总额、LAST_UPDATE 为最后更新日期。</x:v>
      </x:c>
      <x:c r="E98" s="53" t="str">
        <x:v>月度趋势只用 GEN_VAL_MO；年累计对账须按同一国家、HS 和 LAST_UPDATE 并在跨年时重置。</x:v>
      </x:c>
    </x:row>
    <x:row r="99" ht="58" customHeight="1">
      <x:c r="A99" s="50" t="str">
        <x:v>D31</x:v>
      </x:c>
      <x:c r="B99" s="52" t="str">
        <x:v>Census Schedule C country codes</x:v>
      </x:c>
      <x:c r="C99" s="52" t="str">
        <x:v>https://www.census.gov/foreign-trade/schedules/c/countrycodes.html</x:v>
      </x:c>
      <x:c r="D99" s="52" t="str">
        <x:v>官方 Schedule C 国家代码表列出 China 的 Country Code 为 5700、ISO Code 为 CN。</x:v>
      </x:c>
      <x:c r="E99" s="53" t="str">
        <x:v>每个替代供应国都必须从当前官方表逐一核验代码；不得凭 ISO 代码猜测 Schedule C 数值。</x:v>
      </x:c>
    </x:row>
    <x:row r="100" ht="58" customHeight="1">
      <x:c r="A100" s="50" t="str">
        <x:v>D28</x:v>
      </x:c>
      <x:c r="B100" s="52" t="str">
        <x:v>SEC Webmaster FAQ for automated access</x:v>
      </x:c>
      <x:c r="C100" s="52" t="str">
        <x:v>https://www.sec.gov/about/webmaster-frequently-asked-questions</x:v>
      </x:c>
      <x:c r="D100" s="52" t="str">
        <x:v>SEC 要求自动访问者声明真实组织和联系方式并控制请求速率。</x:v>
      </x:c>
      <x:c r="E100" s="53" t="str">
        <x:v>feed_alert.py 因而强制真实 User-Agent、HTTPS、密钥不进 URL；这只是安全底线，仍须遵守每个来源自己的条款和限额。</x:v>
      </x:c>
    </x:row>
    <x:row r="101" ht="58" customHeight="1">
      <x:c r="A101" s="50" t="str">
        <x:v>C01</x:v>
      </x:c>
      <x:c r="B101" s="52" t="str">
        <x:v>FTC CAN-SPAM compliance guide</x:v>
      </x:c>
      <x:c r="C101" s="52" t="str">
        <x:v>https://www.ftc.gov/business-guidance/resources/can-spam-act-compliance-guide-business</x:v>
      </x:c>
      <x:c r="D101" s="52" t="str">
        <x:v>商业邮件包括 B2B 邮件，应使用真实头部和主题、标明广告、提供实体地址和退订并在 10 个工作日内执行。</x:v>
      </x:c>
      <x:c r="E101" s="53" t="str">
        <x:v>还需遵守收件人所在地的 PECR、GDPR、PIPL 等规则。</x:v>
      </x:c>
    </x:row>
    <x:row r="102" ht="58" customHeight="1">
      <x:c r="A102" s="50" t="str">
        <x:v>C02</x:v>
      </x:c>
      <x:c r="B102" s="52" t="str">
        <x:v>LinkedIn prohibited automated activity</x:v>
      </x:c>
      <x:c r="C102" s="52" t="str">
        <x:v>https://www.linkedin.com/help/linkedin/answer/a1340567/automated-activity-on-linkedin?lang=en</x:v>
      </x:c>
      <x:c r="D102" s="52" t="str">
        <x:v>LinkedIn 禁止第三方抓取、自动消息和模拟人工活动。</x:v>
      </x:c>
      <x:c r="E102" s="53" t="str">
        <x:v>获客只做人工、相关、低量联系，不用脚本抓取或群发。</x:v>
      </x:c>
    </x:row>
    <x:row r="103" ht="58" customHeight="1">
      <x:c r="A103" s="54" t="str">
        <x:v>C03</x:v>
      </x:c>
      <x:c r="B103" s="56" t="str">
        <x:v>ICO Business-to-business marketing</x:v>
      </x:c>
      <x:c r="C103" s="56" t="str">
        <x:v>https://ico.org.uk/for-organisations/direct-marketing-and-privacy-and-electronic-communications/business-to-business-marketing/</x:v>
      </x:c>
      <x:c r="D103" s="56" t="str">
        <x:v>英国 PECR 对 corporate subscriber 的 B2B 邮件通常不要求事先同意，但必须标识发送者并提供有效退订；sole trader 和部分 partnership 通常按 individual subscriber 处理。</x:v>
      </x:c>
      <x:c r="E103" s="57" t="str">
        <x:v>个人化工作邮箱仍可能受 UK GDPR 约束；公开数据不是营销同意。收件人类型不明时按个人处理，并在发送前复核正在更新的 ICO 指南。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96fa4ffd349d474e"/>
  </x:tableParts>
</x:worksheet>
</file>