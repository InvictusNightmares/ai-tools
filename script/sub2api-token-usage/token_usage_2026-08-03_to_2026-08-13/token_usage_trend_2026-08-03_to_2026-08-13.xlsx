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c2f5066c7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ken趋势" sheetId="1" r:id="R9999cb7359cd423a"/>
    <x:sheet xmlns:r="http://schemas.openxmlformats.org/officeDocument/2006/relationships" name="美西趋势" sheetId="2" r:id="R745cdd0fd529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&quot;$&quot;#,##0.0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0"/>
      <x:color rgb="FF0F172A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0"/>
      <x:color rgb="FF475569"/>
      <x:name val="Aptos"/>
    </x:font>
    <x:font>
      <x:b/>
      <x:sz val="10"/>
      <x:color rgb="FF0F172A"/>
      <x:name val="Aptos"/>
    </x:font>
    <x:font>
      <x:sz val="10"/>
      <x:color rgb="FF475569"/>
      <x:name val="Aptos"/>
    </x:font>
    <x:font>
      <x:b/>
      <x:sz val="11"/>
      <x:color rgb="FFFFFFFF"/>
      <x:name val="Aptos"/>
    </x:font>
    <x:font>
      <x:b/>
      <x:sz val="11"/>
      <x:color rgb="FF14532D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  <x:fill>
      <x:patternFill patternType="solid">
        <x:fgColor rgb="FFDCFCE7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1" fontId="6" fillId="6" borderId="0" xfId="0" applyNumberFormat="1" applyFont="1" applyFill="1" applyBorder="1"/>
    <x:xf numFmtId="203" fontId="6" fillId="6" borderId="0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3" fontId="0" fillId="0" borderId="1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201" fontId="6" fillId="6" borderId="1" xfId="0" applyNumberFormat="1" applyFont="1" applyFill="1" applyBorder="1"/>
    <x:xf numFmtId="203" fontId="6" fillId="6" borderId="1" xfId="0" applyNumberFormat="1" applyFont="1" applyFill="1" applyBorder="1"/>
    <x:xf numFmtId="0" fontId="5" fillId="5" borderId="1" xfId="0" applyNumberFormat="1" applyFont="1" applyFill="1" applyBorder="1"/>
    <x:xf numFmtId="0" fontId="0" fillId="4" borderId="1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0" xfId="0" applyNumberFormat="1" applyFont="1" applyFill="1" applyBorder="1"/>
    <x:xf numFmtId="200" fontId="10" fillId="3" borderId="0" xfId="0" applyNumberFormat="1" applyFont="1" applyFill="1" applyBorder="1"/>
    <x:xf numFmtId="201" fontId="10" fillId="3" borderId="0" xfId="0" applyNumberFormat="1" applyFont="1" applyFill="1" applyBorder="1"/>
    <x:xf numFmtId="0" fontId="11" fillId="4" borderId="0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/>
    <x:xf numFmtId="202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203" fontId="8" fillId="0" borderId="1" xfId="0" applyNumberFormat="1" applyFont="1" applyFill="1" applyBorder="1"/>
    <x:xf numFmtId="0" fontId="8" fillId="4" borderId="1" xfId="0" applyNumberFormat="1" applyFont="1" applyFill="1" applyBorder="1"/>
    <x:xf numFmtId="0" fontId="13" fillId="6" borderId="1" xfId="0" applyNumberFormat="1" applyFont="1" applyFill="1" applyBorder="1"/>
    <x:xf numFmtId="200" fontId="13" fillId="6" borderId="1" xfId="0" applyNumberFormat="1" applyFont="1" applyFill="1" applyBorder="1"/>
    <x:xf numFmtId="201" fontId="13" fillId="6" borderId="1" xfId="0" applyNumberFormat="1" applyFont="1" applyFill="1" applyBorder="1"/>
    <x:xf numFmtId="203" fontId="13" fillId="6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200" fontId="10" fillId="3" borderId="0" xfId="0" applyNumberFormat="1" applyFont="1" applyFill="1" applyBorder="1" applyAlignment="1">
      <x:alignment vertical="center"/>
    </x:xf>
    <x:xf numFmtId="201" fontId="10" fillId="3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0" fontId="13" fillId="6" borderId="1" xfId="0" applyNumberFormat="1" applyFont="1" applyFill="1" applyBorder="1" applyAlignment="1">
      <x:alignment vertical="center"/>
    </x:xf>
    <x:xf numFmtId="200" fontId="13" fillId="6" borderId="1" xfId="0" applyNumberFormat="1" applyFont="1" applyFill="1" applyBorder="1" applyAlignment="1">
      <x:alignment vertical="center"/>
    </x:xf>
    <x:xf numFmtId="201" fontId="13" fillId="6" borderId="1" xfId="0" applyNumberFormat="1" applyFont="1" applyFill="1" applyBorder="1" applyAlignment="1">
      <x:alignment vertical="center"/>
    </x:xf>
    <x:xf numFmtId="203" fontId="13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200" fontId="3" fillId="8" borderId="0" xfId="0" applyNumberFormat="1" applyFont="1" applyFill="1" applyBorder="1"/>
    <x:xf numFmtId="201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200" fontId="0" fillId="11" borderId="0" xfId="0" applyNumberFormat="1" applyFont="1" applyFill="1" applyBorder="1"/>
    <x:xf numFmtId="201" fontId="0" fillId="11" borderId="0" xfId="0" applyNumberFormat="1" applyFont="1" applyFill="1" applyBorder="1"/>
    <x:xf numFmtId="203" fontId="0" fillId="11" borderId="0" xfId="0" applyNumberFormat="1" applyFont="1" applyFill="1" applyBorder="1"/>
    <x:xf numFmtId="0" fontId="6" fillId="11" borderId="0" xfId="0" applyNumberFormat="1" applyFont="1" applyFill="1" applyBorder="1"/>
    <x:xf numFmtId="200" fontId="6" fillId="11" borderId="0" xfId="0" applyNumberFormat="1" applyFont="1" applyFill="1" applyBorder="1"/>
    <x:xf numFmtId="201" fontId="6" fillId="11" borderId="0" xfId="0" applyNumberFormat="1" applyFont="1" applyFill="1" applyBorder="1"/>
    <x:xf numFmtId="203" fontId="6" fillId="11" borderId="0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6" fillId="11" borderId="1" xfId="0" applyNumberFormat="1" applyFont="1" applyFill="1" applyBorder="1"/>
    <x:xf numFmtId="200" fontId="6" fillId="11" borderId="1" xfId="0" applyNumberFormat="1" applyFont="1" applyFill="1" applyBorder="1"/>
    <x:xf numFmtId="201" fontId="6" fillId="11" borderId="1" xfId="0" applyNumberFormat="1" applyFont="1" applyFill="1" applyBorder="1"/>
    <x:xf numFmtId="203" fontId="6" fillId="11" borderId="1" xfId="0" applyNumberFormat="1" applyFont="1" applyFill="1" applyBorder="1"/>
    <x:xf numFmtId="0" fontId="5" fillId="10" borderId="1" xfId="0" applyNumberFormat="1" applyFont="1" applyFill="1" applyBorder="1"/>
    <x:xf numFmtId="0" fontId="0" fillId="9" borderId="1" xfId="0" applyNumberFormat="1" applyFont="1" applyFill="1" applyBorder="1"/>
    <x:xf numFmtId="0" fontId="7" fillId="7" borderId="0" xfId="0" applyNumberFormat="1" applyFont="1" applyFill="1" applyBorder="1"/>
    <x:xf numFmtId="0" fontId="10" fillId="8" borderId="0" xfId="0" applyNumberFormat="1" applyFont="1" applyFill="1" applyBorder="1"/>
    <x:xf numFmtId="200" fontId="10" fillId="8" borderId="0" xfId="0" applyNumberFormat="1" applyFont="1" applyFill="1" applyBorder="1"/>
    <x:xf numFmtId="201" fontId="10" fillId="8" borderId="0" xfId="0" applyNumberFormat="1" applyFont="1" applyFill="1" applyBorder="1"/>
    <x:xf numFmtId="0" fontId="11" fillId="9" borderId="0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12" fillId="10" borderId="1" xfId="0" applyNumberFormat="1" applyFont="1" applyFill="1" applyBorder="1"/>
    <x:xf numFmtId="0" fontId="8" fillId="9" borderId="1" xfId="0" applyNumberFormat="1" applyFont="1" applyFill="1" applyBorder="1"/>
    <x:xf numFmtId="0" fontId="13" fillId="11" borderId="1" xfId="0" applyNumberFormat="1" applyFont="1" applyFill="1" applyBorder="1"/>
    <x:xf numFmtId="200" fontId="13" fillId="11" borderId="1" xfId="0" applyNumberFormat="1" applyFont="1" applyFill="1" applyBorder="1"/>
    <x:xf numFmtId="201" fontId="13" fillId="11" borderId="1" xfId="0" applyNumberFormat="1" applyFont="1" applyFill="1" applyBorder="1"/>
    <x:xf numFmtId="203" fontId="13" fillId="11" borderId="1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200" fontId="10" fillId="8" borderId="0" xfId="0" applyNumberFormat="1" applyFont="1" applyFill="1" applyBorder="1" applyAlignment="1">
      <x:alignment vertical="center"/>
    </x:xf>
    <x:xf numFmtId="201" fontId="10" fillId="8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2" fillId="10" borderId="1" xfId="0" applyNumberFormat="1" applyFont="1" applyFill="1" applyBorder="1" applyAlignment="1">
      <x:alignment vertical="center" wrapText="1"/>
    </x:xf>
    <x:xf numFmtId="0" fontId="12" fillId="10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0" fontId="13" fillId="11" borderId="1" xfId="0" applyNumberFormat="1" applyFont="1" applyFill="1" applyBorder="1" applyAlignment="1">
      <x:alignment vertical="center"/>
    </x:xf>
    <x:xf numFmtId="200" fontId="13" fillId="11" borderId="1" xfId="0" applyNumberFormat="1" applyFont="1" applyFill="1" applyBorder="1" applyAlignment="1">
      <x:alignment vertical="center"/>
    </x:xf>
    <x:xf numFmtId="201" fontId="13" fillId="11" borderId="1" xfId="0" applyNumberFormat="1" applyFont="1" applyFill="1" applyBorder="1" applyAlignment="1">
      <x:alignment vertical="center"/>
    </x:xf>
    <x:xf numFmtId="203" fontId="13" fillId="11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b84bbac5b4ffa" /><Relationship Type="http://schemas.openxmlformats.org/officeDocument/2006/relationships/theme" Target="/xl/theme/theme1.xml" Id="R71ba93226a464711" /><Relationship Type="http://schemas.openxmlformats.org/officeDocument/2006/relationships/sharedStrings" Target="/xl/sharedStrings.xml" Id="R66617d1ed86c4631" /><Relationship Type="http://schemas.openxmlformats.org/officeDocument/2006/relationships/worksheet" Target="/xl/worksheets/sheet1.xml" Id="R9999cb7359cd423a" /><Relationship Type="http://schemas.openxmlformats.org/officeDocument/2006/relationships/worksheet" Target="/xl/worksheets/sheet2.xml" Id="R745cdd0fd5294cf3" /></Relationships>
</file>

<file path=xl/tables/table1.xml><?xml version="1.0" encoding="utf-8"?>
<x:table xmlns:x="http://schemas.openxmlformats.org/spreadsheetml/2006/main" id="1" name="TokenTrendTable" displayName="TokenTrendTable" ref="A7:I18" headerRowCount="1" totalsRowCount="0" totalsRowShown="0">
  <x:autoFilter ref="A7:I18"/>
  <x:tableColumns count="9">
    <x:tableColumn id="1" name="日期 / Date"/>
    <x:tableColumn id="2" name="Input / 输入"/>
    <x:tableColumn id="3" name="Output / 输出"/>
    <x:tableColumn id="4" name="Cache Creation / 缓存创建"/>
    <x:tableColumn id="5" name="Cache Read / 缓存读取"/>
    <x:tableColumn id="6" name="Cache Hit Rate / 缓存命中率"/>
    <x:tableColumn id="7" name="Total Token / 总 Token"/>
    <x:tableColumn id="8" name="Actual / 实际"/>
    <x:tableColumn id="9" name="Standard / 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stTokenTrendTable" displayName="WestTokenTrendTable" ref="A7:I18" headerRowCount="1" totalsRowCount="0" totalsRowShown="0">
  <x:autoFilter ref="A7:I18"/>
  <x:tableColumns count="9">
    <x:tableColumn id="1" name="日期 / Date"/>
    <x:tableColumn id="2" name="Input / 输入"/>
    <x:tableColumn id="3" name="Output / 输出"/>
    <x:tableColumn id="4" name="Cache Creation / 缓存创建"/>
    <x:tableColumn id="5" name="Cache Read / 缓存读取"/>
    <x:tableColumn id="6" name="Cache Hit Rate / 缓存命中率"/>
    <x:tableColumn id="7" name="Total Token / 总 Token"/>
    <x:tableColumn id="8" name="Actual / 实际"/>
    <x:tableColumn id="9" name="Standard / 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37f56fa2a143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0ad7c5f3e346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23" hidden="0" customWidth="1"/>
    <x:col min="7" max="7" width="25" hidden="0" customWidth="1"/>
    <x:col min="8" max="8" width="14" hidden="0" customWidth="1"/>
    <x:col min="9" max="9" width="14" hidden="0" customWidth="1"/>
    <x:col min="11" max="11" width="18" hidden="0" customWidth="1"/>
    <x:col min="12" max="12" width="18" hidden="0" customWidth="1"/>
    <x:col min="10" max="10" width="3" hidden="0" customWidth="1"/>
  </x:cols>
  <x:sheetData>
    <x:row r="1" ht="30" customHeight="1">
      <x:c r="A1" s="54" t="str">
        <x:v>东京 Token 使用趋势 / Tokyo Token Usage Trend</x:v>
      </x:c>
      <x:c r="B1" s="54"/>
      <x:c r="C1" s="54"/>
      <x:c r="D1" s="54"/>
      <x:c r="E1" s="54"/>
      <x:c r="F1" s="54"/>
      <x:c r="G1" s="54"/>
      <x:c r="H1" s="54"/>
      <x:c r="I1" s="54"/>
      <x:c r="J1" s="55"/>
      <x:c r="K1" s="55"/>
      <x:c r="L1" s="55"/>
    </x:row>
    <x:row r="2">
      <x:c r="A2" s="56" t="str">
        <x:v>东京 / Tokyo；统计范围 / Period: 2026-08-03 至 2026-08-13；来源 / Source: http://8.216.44.189:8080/admin/dashboard</x:v>
      </x:c>
      <x:c r="B2" s="56"/>
      <x:c r="C2" s="56"/>
      <x:c r="D2" s="56"/>
      <x:c r="E2" s="56"/>
      <x:c r="F2" s="56"/>
      <x:c r="G2" s="56"/>
      <x:c r="H2" s="56"/>
      <x:c r="I2" s="56"/>
      <x:c r="J2" s="55"/>
      <x:c r="K2" s="55"/>
      <x:c r="L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7" t="str">
        <x:v>统计天数 / Days</x:v>
      </x:c>
      <x:c r="B4" s="58" t="n">
        <x:f>COUNTA(A8:A18)</x:f>
        <x:v>11</x:v>
      </x:c>
      <x:c r="C4" s="57" t="str">
        <x:v>总 Token / Total Tokens</x:v>
      </x:c>
      <x:c r="D4" s="58" t="n">
        <x:f>SUM(G8:G18)</x:f>
        <x:v>16397910000</x:v>
      </x:c>
      <x:c r="E4" s="57" t="str">
        <x:v>平均命中率 / Avg Hit Rate</x:v>
      </x:c>
      <x:c r="F4" s="59" t="n">
        <x:f>AVERAGE(F8:F18)</x:f>
        <x:v>0.9148181818181819</x:v>
      </x:c>
      <x:c r="G4" s="57" t="str">
        <x:v>Cache Read 合计 / Total</x:v>
      </x:c>
      <x:c r="H4" s="58" t="n">
        <x:f>SUM(E8:E18)</x:f>
        <x:v>14952510000</x:v>
      </x:c>
      <x:c r="I4" s="55"/>
      <x:c r="J4" s="55"/>
      <x:c r="K4" s="55"/>
      <x:c r="L4" s="55"/>
    </x:row>
    <x:row r="5" ht="24" customHeight="1">
      <x:c r="A5" s="60" t="str">
        <x:v>口径说明 / Definition: Token 数值按后台图表提示中的 B/M 单位还原为绝对数量；Actual、Standard 为同一图表提示中的 USD 值。</x:v>
      </x:c>
      <x:c r="B5" s="60"/>
      <x:c r="C5" s="60"/>
      <x:c r="D5" s="60"/>
      <x:c r="E5" s="60"/>
      <x:c r="F5" s="60"/>
      <x:c r="G5" s="60"/>
      <x:c r="H5" s="60"/>
      <x:c r="I5" s="60"/>
      <x:c r="J5" s="55"/>
      <x:c r="K5" s="55"/>
      <x:c r="L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</x:row>
    <x:row r="7" ht="32" customHeight="1">
      <x:c r="A7" s="61" t="str">
        <x:v>日期 / Date</x:v>
      </x:c>
      <x:c r="B7" s="61" t="str">
        <x:v>Input / 输入</x:v>
      </x:c>
      <x:c r="C7" s="61" t="str">
        <x:v>Output / 输出</x:v>
      </x:c>
      <x:c r="D7" s="61" t="str">
        <x:v>Cache Creation / 缓存创建</x:v>
      </x:c>
      <x:c r="E7" s="61" t="str">
        <x:v>Cache Read / 缓存读取</x:v>
      </x:c>
      <x:c r="F7" s="61" t="str">
        <x:v>Cache Hit Rate / 缓存命中率</x:v>
      </x:c>
      <x:c r="G7" s="61" t="str">
        <x:v>Total Token / 总 Token</x:v>
      </x:c>
      <x:c r="H7" s="61" t="str">
        <x:v>Actual / 实际</x:v>
      </x:c>
      <x:c r="I7" s="61" t="str">
        <x:v>Standard / 标准</x:v>
      </x:c>
      <x:c r="J7" s="55"/>
      <x:c r="K7" s="62" t="str">
        <x:v>English</x:v>
      </x:c>
      <x:c r="L7" s="62" t="str">
        <x:v>中文</x:v>
      </x:c>
    </x:row>
    <x:row r="8">
      <x:c r="A8" s="63" t="n">
        <x:v>46237</x:v>
      </x:c>
      <x:c r="B8" s="64" t="n">
        <x:v>184250000</x:v>
      </x:c>
      <x:c r="C8" s="64" t="n">
        <x:v>12170000</x:v>
      </x:c>
      <x:c r="D8" s="64" t="n">
        <x:v>0</x:v>
      </x:c>
      <x:c r="E8" s="64" t="n">
        <x:v>2020000000</x:v>
      </x:c>
      <x:c r="F8" s="65" t="n">
        <x:v>0.916</x:v>
      </x:c>
      <x:c r="G8" s="64" t="n">
        <x:f>SUM(B8:E8)</x:f>
        <x:v>2216420000</x:v>
      </x:c>
      <x:c r="H8" s="66" t="n">
        <x:v>2320</x:v>
      </x:c>
      <x:c r="I8" s="66" t="n">
        <x:v>2320</x:v>
      </x:c>
      <x:c r="J8" s="55"/>
      <x:c r="K8" s="67" t="str">
        <x:v>Input</x:v>
      </x:c>
      <x:c r="L8" s="67" t="str">
        <x:v>输入</x:v>
      </x:c>
    </x:row>
    <x:row r="9">
      <x:c r="A9" s="63" t="n">
        <x:v>46238</x:v>
      </x:c>
      <x:c r="B9" s="64" t="n">
        <x:v>178780000</x:v>
      </x:c>
      <x:c r="C9" s="64" t="n">
        <x:v>11070000</x:v>
      </x:c>
      <x:c r="D9" s="64" t="n">
        <x:v>0</x:v>
      </x:c>
      <x:c r="E9" s="64" t="n">
        <x:v>2540000000</x:v>
      </x:c>
      <x:c r="F9" s="65" t="n">
        <x:v>0.934</x:v>
      </x:c>
      <x:c r="G9" s="64" t="n">
        <x:f>SUM(B9:E9)</x:f>
        <x:v>2729850000</x:v>
      </x:c>
      <x:c r="H9" s="66" t="n">
        <x:v>2600</x:v>
      </x:c>
      <x:c r="I9" s="66" t="n">
        <x:v>2600</x:v>
      </x:c>
      <x:c r="J9" s="55"/>
      <x:c r="K9" s="67" t="str">
        <x:v>Output</x:v>
      </x:c>
      <x:c r="L9" s="67" t="str">
        <x:v>输出</x:v>
      </x:c>
    </x:row>
    <x:row r="10">
      <x:c r="A10" s="63" t="n">
        <x:v>46239</x:v>
      </x:c>
      <x:c r="B10" s="64" t="n">
        <x:v>138100000</x:v>
      </x:c>
      <x:c r="C10" s="64" t="n">
        <x:v>8790000</x:v>
      </x:c>
      <x:c r="D10" s="64" t="n">
        <x:v>0</x:v>
      </x:c>
      <x:c r="E10" s="64" t="n">
        <x:v>1880000000</x:v>
      </x:c>
      <x:c r="F10" s="65" t="n">
        <x:v>0.932</x:v>
      </x:c>
      <x:c r="G10" s="64" t="n">
        <x:f>SUM(B10:E10)</x:f>
        <x:v>2026890000</x:v>
      </x:c>
      <x:c r="H10" s="66" t="n">
        <x:v>2140</x:v>
      </x:c>
      <x:c r="I10" s="66" t="n">
        <x:v>2140</x:v>
      </x:c>
      <x:c r="J10" s="55"/>
      <x:c r="K10" s="67" t="str">
        <x:v>Cache Creation</x:v>
      </x:c>
      <x:c r="L10" s="67" t="str">
        <x:v>缓存创建</x:v>
      </x:c>
    </x:row>
    <x:row r="11">
      <x:c r="A11" s="63" t="n">
        <x:v>46240</x:v>
      </x:c>
      <x:c r="B11" s="64" t="n">
        <x:v>139930000</x:v>
      </x:c>
      <x:c r="C11" s="64" t="n">
        <x:v>11800000</x:v>
      </x:c>
      <x:c r="D11" s="64" t="n">
        <x:v>0</x:v>
      </x:c>
      <x:c r="E11" s="64" t="n">
        <x:v>1540000000</x:v>
      </x:c>
      <x:c r="F11" s="65" t="n">
        <x:v>0.917</x:v>
      </x:c>
      <x:c r="G11" s="64" t="n">
        <x:f>SUM(B11:E11)</x:f>
        <x:v>1691730000</x:v>
      </x:c>
      <x:c r="H11" s="66" t="n">
        <x:v>2080</x:v>
      </x:c>
      <x:c r="I11" s="66" t="n">
        <x:v>2080</x:v>
      </x:c>
      <x:c r="J11" s="55"/>
      <x:c r="K11" s="67" t="str">
        <x:v>Cache Read</x:v>
      </x:c>
      <x:c r="L11" s="67" t="str">
        <x:v>缓存读取</x:v>
      </x:c>
    </x:row>
    <x:row r="12">
      <x:c r="A12" s="63" t="n">
        <x:v>46241</x:v>
      </x:c>
      <x:c r="B12" s="64" t="n">
        <x:v>80670000</x:v>
      </x:c>
      <x:c r="C12" s="64" t="n">
        <x:v>6330000</x:v>
      </x:c>
      <x:c r="D12" s="64" t="n">
        <x:v>0</x:v>
      </x:c>
      <x:c r="E12" s="64" t="n">
        <x:v>1050000000</x:v>
      </x:c>
      <x:c r="F12" s="65" t="n">
        <x:v>0.928</x:v>
      </x:c>
      <x:c r="G12" s="64" t="n">
        <x:f>SUM(B12:E12)</x:f>
        <x:v>1137000000</x:v>
      </x:c>
      <x:c r="H12" s="66" t="n">
        <x:v>1330</x:v>
      </x:c>
      <x:c r="I12" s="66" t="n">
        <x:v>1330</x:v>
      </x:c>
      <x:c r="J12" s="55"/>
      <x:c r="K12" s="67" t="str">
        <x:v>Cache Hit Rate</x:v>
      </x:c>
      <x:c r="L12" s="67" t="str">
        <x:v>缓存命中率</x:v>
      </x:c>
    </x:row>
    <x:row r="13">
      <x:c r="A13" s="63" t="n">
        <x:v>46242</x:v>
      </x:c>
      <x:c r="B13" s="64" t="n">
        <x:v>19420000</x:v>
      </x:c>
      <x:c r="C13" s="64" t="n">
        <x:v>2000000</x:v>
      </x:c>
      <x:c r="D13" s="64" t="n">
        <x:v>0</x:v>
      </x:c>
      <x:c r="E13" s="64" t="n">
        <x:v>475960000</x:v>
      </x:c>
      <x:c r="F13" s="65" t="n">
        <x:v>0.961</x:v>
      </x:c>
      <x:c r="G13" s="64" t="n">
        <x:f>SUM(B13:E13)</x:f>
        <x:v>497380000</x:v>
      </x:c>
      <x:c r="H13" s="66" t="n">
        <x:v>748.34</x:v>
      </x:c>
      <x:c r="I13" s="66" t="n">
        <x:v>748.34</x:v>
      </x:c>
      <x:c r="J13" s="55"/>
      <x:c r="K13" s="55"/>
      <x:c r="L13" s="55"/>
    </x:row>
    <x:row r="14">
      <x:c r="A14" s="63" t="n">
        <x:v>46243</x:v>
      </x:c>
      <x:c r="B14" s="64" t="n">
        <x:v>25840000</x:v>
      </x:c>
      <x:c r="C14" s="64" t="n">
        <x:v>2530000</x:v>
      </x:c>
      <x:c r="D14" s="64" t="n">
        <x:v>0</x:v>
      </x:c>
      <x:c r="E14" s="64" t="n">
        <x:v>564590000</x:v>
      </x:c>
      <x:c r="F14" s="65" t="n">
        <x:v>0.956</x:v>
      </x:c>
      <x:c r="G14" s="64" t="n">
        <x:f>SUM(B14:E14)</x:f>
        <x:v>592960000</x:v>
      </x:c>
      <x:c r="H14" s="66" t="n">
        <x:v>698.79</x:v>
      </x:c>
      <x:c r="I14" s="66" t="n">
        <x:v>698.79</x:v>
      </x:c>
      <x:c r="J14" s="55"/>
      <x:c r="K14" s="55"/>
      <x:c r="L14" s="55"/>
    </x:row>
    <x:row r="15">
      <x:c r="A15" s="63" t="n">
        <x:v>46244</x:v>
      </x:c>
      <x:c r="B15" s="64" t="n">
        <x:v>91070000</x:v>
      </x:c>
      <x:c r="C15" s="64" t="n">
        <x:v>7110000</x:v>
      </x:c>
      <x:c r="D15" s="64" t="n">
        <x:v>0</x:v>
      </x:c>
      <x:c r="E15" s="64" t="n">
        <x:v>1460000000</x:v>
      </x:c>
      <x:c r="F15" s="65" t="n">
        <x:v>0.941</x:v>
      </x:c>
      <x:c r="G15" s="64" t="n">
        <x:f>SUM(B15:E15)</x:f>
        <x:v>1558180000</x:v>
      </x:c>
      <x:c r="H15" s="66" t="n">
        <x:v>1460</x:v>
      </x:c>
      <x:c r="I15" s="66" t="n">
        <x:v>1460</x:v>
      </x:c>
      <x:c r="J15" s="55"/>
      <x:c r="K15" s="55"/>
      <x:c r="L15" s="55"/>
    </x:row>
    <x:row r="16">
      <x:c r="A16" s="63" t="n">
        <x:v>46245</x:v>
      </x:c>
      <x:c r="B16" s="64" t="n">
        <x:v>111560000</x:v>
      </x:c>
      <x:c r="C16" s="64" t="n">
        <x:v>8650000</x:v>
      </x:c>
      <x:c r="D16" s="64" t="n">
        <x:v>0</x:v>
      </x:c>
      <x:c r="E16" s="64" t="n">
        <x:v>1620000000</x:v>
      </x:c>
      <x:c r="F16" s="65" t="n">
        <x:v>0.936</x:v>
      </x:c>
      <x:c r="G16" s="64" t="n">
        <x:f>SUM(B16:E16)</x:f>
        <x:v>1740210000</x:v>
      </x:c>
      <x:c r="H16" s="66" t="n">
        <x:v>1820</x:v>
      </x:c>
      <x:c r="I16" s="66" t="n">
        <x:v>1820</x:v>
      </x:c>
      <x:c r="J16" s="55"/>
      <x:c r="K16" s="55"/>
      <x:c r="L16" s="55"/>
    </x:row>
    <x:row r="17">
      <x:c r="A17" s="63" t="n">
        <x:v>46246</x:v>
      </x:c>
      <x:c r="B17" s="64" t="n">
        <x:v>154400000</x:v>
      </x:c>
      <x:c r="C17" s="64" t="n">
        <x:v>7320000</x:v>
      </x:c>
      <x:c r="D17" s="64" t="n">
        <x:v>0</x:v>
      </x:c>
      <x:c r="E17" s="64" t="n">
        <x:v>967690000</x:v>
      </x:c>
      <x:c r="F17" s="65" t="n">
        <x:v>0.862</x:v>
      </x:c>
      <x:c r="G17" s="64" t="n">
        <x:f>SUM(B17:E17)</x:f>
        <x:v>1129410000</x:v>
      </x:c>
      <x:c r="H17" s="66" t="n">
        <x:v>1410</x:v>
      </x:c>
      <x:c r="I17" s="66" t="n">
        <x:v>1410</x:v>
      </x:c>
      <x:c r="J17" s="55"/>
      <x:c r="K17" s="55"/>
      <x:c r="L17" s="55"/>
    </x:row>
    <x:row r="18">
      <x:c r="A18" s="63" t="n">
        <x:v>46247</x:v>
      </x:c>
      <x:c r="B18" s="64" t="n">
        <x:v>234920000</x:v>
      </x:c>
      <x:c r="C18" s="64" t="n">
        <x:v>8690000</x:v>
      </x:c>
      <x:c r="D18" s="64" t="n">
        <x:v>0</x:v>
      </x:c>
      <x:c r="E18" s="64" t="n">
        <x:v>834270000</x:v>
      </x:c>
      <x:c r="F18" s="65" t="n">
        <x:v>0.78</x:v>
      </x:c>
      <x:c r="G18" s="64" t="n">
        <x:f>SUM(B18:E18)</x:f>
        <x:v>1077880000</x:v>
      </x:c>
      <x:c r="H18" s="66" t="n">
        <x:v>1810</x:v>
      </x:c>
      <x:c r="I18" s="66" t="n">
        <x:v>1810</x:v>
      </x:c>
      <x:c r="J18" s="55"/>
      <x:c r="K18" s="55"/>
      <x:c r="L18" s="55"/>
    </x:row>
    <x:row r="19">
      <x:c r="A19" s="68" t="str">
        <x:v>合计 / Average</x:v>
      </x:c>
      <x:c r="B19" s="69" t="n">
        <x:f>SUM(B8:B18)</x:f>
        <x:v>1358940000</x:v>
      </x:c>
      <x:c r="C19" s="69" t="n">
        <x:f>SUM(C8:C18)</x:f>
        <x:v>86460000</x:v>
      </x:c>
      <x:c r="D19" s="69" t="n">
        <x:f>SUM(D8:D18)</x:f>
        <x:v>0</x:v>
      </x:c>
      <x:c r="E19" s="69" t="n">
        <x:f>SUM(E8:E18)</x:f>
        <x:v>14952510000</x:v>
      </x:c>
      <x:c r="F19" s="70" t="n">
        <x:f>AVERAGE(F8:F18)</x:f>
        <x:v>0.9148181818181819</x:v>
      </x:c>
      <x:c r="G19" s="69" t="n">
        <x:f>SUM(G8:G18)</x:f>
        <x:v>16397910000</x:v>
      </x:c>
      <x:c r="H19" s="71" t="n">
        <x:f>SUM(H8:H18)</x:f>
        <x:v>18417.13</x:v>
      </x:c>
      <x:c r="I19" s="71" t="n">
        <x:f>SUM(I8:I18)</x:f>
        <x:v>18417.13</x:v>
      </x:c>
      <x:c r="J19" s="55"/>
      <x:c r="K19" s="55"/>
      <x:c r="L19" s="55"/>
    </x:row>
  </x:sheetData>
  <x:mergeCells>
    <x:mergeCell ref="A1:I1"/>
    <x:mergeCell ref="A2:I2"/>
    <x:mergeCell ref="A5:I5"/>
  </x:mergeCells>
  <x:pageMargins left="0.7" right="0.7" top="0.75" bottom="0.75" header="0.3" footer="0.3"/>
  <x:tableParts count="1">
    <x:tablePart xmlns:r="http://schemas.openxmlformats.org/officeDocument/2006/relationships" r:id="R0837f56fa2a143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23" hidden="0" customWidth="1"/>
    <x:col min="7" max="7" width="25" hidden="0" customWidth="1"/>
    <x:col min="8" max="8" width="14" hidden="0" customWidth="1"/>
    <x:col min="9" max="9" width="14" hidden="0" customWidth="1"/>
    <x:col min="11" max="11" width="18" hidden="0" customWidth="1"/>
    <x:col min="12" max="12" width="18" hidden="0" customWidth="1"/>
    <x:col min="10" max="10" width="3" hidden="0" customWidth="1"/>
  </x:cols>
  <x:sheetData>
    <x:row r="1" ht="30" customHeight="1">
      <x:c r="A1" s="110" t="str">
        <x:v>美西 Token 使用趋势 / US West Token Usage Trend</x:v>
      </x:c>
      <x:c r="B1" s="110"/>
      <x:c r="C1" s="110"/>
      <x:c r="D1" s="110"/>
      <x:c r="E1" s="110"/>
      <x:c r="F1" s="110"/>
      <x:c r="G1" s="110"/>
      <x:c r="H1" s="110"/>
      <x:c r="I1" s="110"/>
      <x:c r="J1" s="55"/>
      <x:c r="K1" s="55"/>
      <x:c r="L1" s="55"/>
    </x:row>
    <x:row r="2">
      <x:c r="A2" s="56" t="str">
        <x:v>美西 / US West；统计范围 / Period: 2026-08-03 至 2026-08-13；来源 / Source: http://106.14.254.110:9880/admin/dashboard</x:v>
      </x:c>
      <x:c r="B2" s="56"/>
      <x:c r="C2" s="56"/>
      <x:c r="D2" s="56"/>
      <x:c r="E2" s="56"/>
      <x:c r="F2" s="56"/>
      <x:c r="G2" s="56"/>
      <x:c r="H2" s="56"/>
      <x:c r="I2" s="56"/>
      <x:c r="J2" s="55"/>
      <x:c r="K2" s="55"/>
      <x:c r="L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111" t="str">
        <x:v>统计天数 / Days</x:v>
      </x:c>
      <x:c r="B4" s="112" t="n">
        <x:f>COUNTA(A8:A18)</x:f>
        <x:v>11</x:v>
      </x:c>
      <x:c r="C4" s="111" t="str">
        <x:v>总 Token / Total Tokens</x:v>
      </x:c>
      <x:c r="D4" s="112" t="n">
        <x:f>SUM(G8:G18)</x:f>
        <x:v>27740474200</x:v>
      </x:c>
      <x:c r="E4" s="111" t="str">
        <x:v>平均命中率 / Avg Hit Rate</x:v>
      </x:c>
      <x:c r="F4" s="113" t="n">
        <x:f>AVERAGE(F8:F18)</x:f>
        <x:v>0.9267272727272725</x:v>
      </x:c>
      <x:c r="G4" s="111" t="str">
        <x:v>Cache Read 合计 / Total</x:v>
      </x:c>
      <x:c r="H4" s="112" t="n">
        <x:f>SUM(E8:E18)</x:f>
        <x:v>25460710000</x:v>
      </x:c>
      <x:c r="I4" s="55"/>
      <x:c r="J4" s="55"/>
      <x:c r="K4" s="55"/>
      <x:c r="L4" s="55"/>
    </x:row>
    <x:row r="5" ht="24" customHeight="1">
      <x:c r="A5" s="114" t="str">
        <x:v>口径说明 / Definition: Token 数值按后台图表提示中的 B/M/K 单位还原为绝对数量；Actual、Standard 为同一图表提示中的 USD 值。</x:v>
      </x:c>
      <x:c r="B5" s="114"/>
      <x:c r="C5" s="114"/>
      <x:c r="D5" s="114"/>
      <x:c r="E5" s="114"/>
      <x:c r="F5" s="114"/>
      <x:c r="G5" s="114"/>
      <x:c r="H5" s="114"/>
      <x:c r="I5" s="114"/>
      <x:c r="J5" s="55"/>
      <x:c r="K5" s="55"/>
      <x:c r="L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</x:row>
    <x:row r="7" ht="32" customHeight="1">
      <x:c r="A7" s="115" t="str">
        <x:v>日期 / Date</x:v>
      </x:c>
      <x:c r="B7" s="115" t="str">
        <x:v>Input / 输入</x:v>
      </x:c>
      <x:c r="C7" s="115" t="str">
        <x:v>Output / 输出</x:v>
      </x:c>
      <x:c r="D7" s="115" t="str">
        <x:v>Cache Creation / 缓存创建</x:v>
      </x:c>
      <x:c r="E7" s="115" t="str">
        <x:v>Cache Read / 缓存读取</x:v>
      </x:c>
      <x:c r="F7" s="115" t="str">
        <x:v>Cache Hit Rate / 缓存命中率</x:v>
      </x:c>
      <x:c r="G7" s="115" t="str">
        <x:v>Total Token / 总 Token</x:v>
      </x:c>
      <x:c r="H7" s="115" t="str">
        <x:v>Actual / 实际</x:v>
      </x:c>
      <x:c r="I7" s="115" t="str">
        <x:v>Standard / 标准</x:v>
      </x:c>
      <x:c r="J7" s="55"/>
      <x:c r="K7" s="116" t="str">
        <x:v>English</x:v>
      </x:c>
      <x:c r="L7" s="116" t="str">
        <x:v>中文</x:v>
      </x:c>
    </x:row>
    <x:row r="8">
      <x:c r="A8" s="63" t="n">
        <x:v>46237</x:v>
      </x:c>
      <x:c r="B8" s="64" t="n">
        <x:v>182470000</x:v>
      </x:c>
      <x:c r="C8" s="64" t="n">
        <x:v>14370000</x:v>
      </x:c>
      <x:c r="D8" s="64" t="n">
        <x:v>0</x:v>
      </x:c>
      <x:c r="E8" s="64" t="n">
        <x:v>2310000000</x:v>
      </x:c>
      <x:c r="F8" s="65" t="n">
        <x:v>0.927</x:v>
      </x:c>
      <x:c r="G8" s="64" t="n">
        <x:f>SUM(B8:E8)</x:f>
        <x:v>2506840000</x:v>
      </x:c>
      <x:c r="H8" s="66" t="n">
        <x:v>2430</x:v>
      </x:c>
      <x:c r="I8" s="66" t="n">
        <x:v>2430</x:v>
      </x:c>
      <x:c r="J8" s="55"/>
      <x:c r="K8" s="117" t="str">
        <x:v>Input</x:v>
      </x:c>
      <x:c r="L8" s="117" t="str">
        <x:v>输入</x:v>
      </x:c>
    </x:row>
    <x:row r="9">
      <x:c r="A9" s="63" t="n">
        <x:v>46238</x:v>
      </x:c>
      <x:c r="B9" s="64" t="n">
        <x:v>196570000</x:v>
      </x:c>
      <x:c r="C9" s="64" t="n">
        <x:v>14640000</x:v>
      </x:c>
      <x:c r="D9" s="64" t="n">
        <x:v>0</x:v>
      </x:c>
      <x:c r="E9" s="64" t="n">
        <x:v>2990000000</x:v>
      </x:c>
      <x:c r="F9" s="65" t="n">
        <x:v>0.938</x:v>
      </x:c>
      <x:c r="G9" s="64" t="n">
        <x:f>SUM(B9:E9)</x:f>
        <x:v>3201210000</x:v>
      </x:c>
      <x:c r="H9" s="66" t="n">
        <x:v>2750</x:v>
      </x:c>
      <x:c r="I9" s="66" t="n">
        <x:v>2750</x:v>
      </x:c>
      <x:c r="J9" s="55"/>
      <x:c r="K9" s="117" t="str">
        <x:v>Output</x:v>
      </x:c>
      <x:c r="L9" s="117" t="str">
        <x:v>输出</x:v>
      </x:c>
    </x:row>
    <x:row r="10">
      <x:c r="A10" s="63" t="n">
        <x:v>46239</x:v>
      </x:c>
      <x:c r="B10" s="64" t="n">
        <x:v>177570000</x:v>
      </x:c>
      <x:c r="C10" s="64" t="n">
        <x:v>11840000</x:v>
      </x:c>
      <x:c r="D10" s="64" t="n">
        <x:v>0</x:v>
      </x:c>
      <x:c r="E10" s="64" t="n">
        <x:v>2430000000</x:v>
      </x:c>
      <x:c r="F10" s="65" t="n">
        <x:v>0.932</x:v>
      </x:c>
      <x:c r="G10" s="64" t="n">
        <x:f>SUM(B10:E10)</x:f>
        <x:v>2619410000</x:v>
      </x:c>
      <x:c r="H10" s="66" t="n">
        <x:v>2270</x:v>
      </x:c>
      <x:c r="I10" s="66" t="n">
        <x:v>2270</x:v>
      </x:c>
      <x:c r="J10" s="55"/>
      <x:c r="K10" s="117" t="str">
        <x:v>Cache Creation</x:v>
      </x:c>
      <x:c r="L10" s="117" t="str">
        <x:v>缓存创建</x:v>
      </x:c>
    </x:row>
    <x:row r="11">
      <x:c r="A11" s="63" t="n">
        <x:v>46240</x:v>
      </x:c>
      <x:c r="B11" s="64" t="n">
        <x:v>208640000</x:v>
      </x:c>
      <x:c r="C11" s="64" t="n">
        <x:v>16170000</x:v>
      </x:c>
      <x:c r="D11" s="64" t="n">
        <x:v>0</x:v>
      </x:c>
      <x:c r="E11" s="64" t="n">
        <x:v>2820000000</x:v>
      </x:c>
      <x:c r="F11" s="65" t="n">
        <x:v>0.931</x:v>
      </x:c>
      <x:c r="G11" s="64" t="n">
        <x:f>SUM(B11:E11)</x:f>
        <x:v>3044810000</x:v>
      </x:c>
      <x:c r="H11" s="66" t="n">
        <x:v>2770</x:v>
      </x:c>
      <x:c r="I11" s="66" t="n">
        <x:v>2770</x:v>
      </x:c>
      <x:c r="J11" s="55"/>
      <x:c r="K11" s="117" t="str">
        <x:v>Cache Read</x:v>
      </x:c>
      <x:c r="L11" s="117" t="str">
        <x:v>缓存读取</x:v>
      </x:c>
    </x:row>
    <x:row r="12">
      <x:c r="A12" s="63" t="n">
        <x:v>46241</x:v>
      </x:c>
      <x:c r="B12" s="64" t="n">
        <x:v>150060000</x:v>
      </x:c>
      <x:c r="C12" s="64" t="n">
        <x:v>12060000</x:v>
      </x:c>
      <x:c r="D12" s="64" t="n">
        <x:v>84200</x:v>
      </x:c>
      <x:c r="E12" s="64" t="n">
        <x:v>2230000000</x:v>
      </x:c>
      <x:c r="F12" s="65" t="n">
        <x:v>0.937</x:v>
      </x:c>
      <x:c r="G12" s="64" t="n">
        <x:f>SUM(B12:E12)</x:f>
        <x:v>2392204200</x:v>
      </x:c>
      <x:c r="H12" s="66" t="n">
        <x:v>2150</x:v>
      </x:c>
      <x:c r="I12" s="66" t="n">
        <x:v>2150</x:v>
      </x:c>
      <x:c r="J12" s="55"/>
      <x:c r="K12" s="117" t="str">
        <x:v>Cache Hit Rate</x:v>
      </x:c>
      <x:c r="L12" s="117" t="str">
        <x:v>缓存命中率</x:v>
      </x:c>
    </x:row>
    <x:row r="13">
      <x:c r="A13" s="63" t="n">
        <x:v>46242</x:v>
      </x:c>
      <x:c r="B13" s="64" t="n">
        <x:v>20400000</x:v>
      </x:c>
      <x:c r="C13" s="64" t="n">
        <x:v>1700000</x:v>
      </x:c>
      <x:c r="D13" s="64" t="n">
        <x:v>0</x:v>
      </x:c>
      <x:c r="E13" s="64" t="n">
        <x:v>373910000</x:v>
      </x:c>
      <x:c r="F13" s="65" t="n">
        <x:v>0.948</x:v>
      </x:c>
      <x:c r="G13" s="64" t="n">
        <x:f>SUM(B13:E13)</x:f>
        <x:v>396010000</x:v>
      </x:c>
      <x:c r="H13" s="66" t="n">
        <x:v>336.07</x:v>
      </x:c>
      <x:c r="I13" s="66" t="n">
        <x:v>336.07</x:v>
      </x:c>
      <x:c r="J13" s="55"/>
      <x:c r="K13" s="55"/>
      <x:c r="L13" s="55"/>
    </x:row>
    <x:row r="14">
      <x:c r="A14" s="63" t="n">
        <x:v>46243</x:v>
      </x:c>
      <x:c r="B14" s="64" t="n">
        <x:v>29930000</x:v>
      </x:c>
      <x:c r="C14" s="64" t="n">
        <x:v>2490000</x:v>
      </x:c>
      <x:c r="D14" s="64" t="n">
        <x:v>0</x:v>
      </x:c>
      <x:c r="E14" s="64" t="n">
        <x:v>696800000</x:v>
      </x:c>
      <x:c r="F14" s="65" t="n">
        <x:v>0.959</x:v>
      </x:c>
      <x:c r="G14" s="64" t="n">
        <x:f>SUM(B14:E14)</x:f>
        <x:v>729220000</x:v>
      </x:c>
      <x:c r="H14" s="66" t="n">
        <x:v>585.57</x:v>
      </x:c>
      <x:c r="I14" s="66" t="n">
        <x:v>585.57</x:v>
      </x:c>
      <x:c r="J14" s="55"/>
      <x:c r="K14" s="55"/>
      <x:c r="L14" s="55"/>
    </x:row>
    <x:row r="15">
      <x:c r="A15" s="63" t="n">
        <x:v>46244</x:v>
      </x:c>
      <x:c r="B15" s="64" t="n">
        <x:v>154240000</x:v>
      </x:c>
      <x:c r="C15" s="64" t="n">
        <x:v>12720000</x:v>
      </x:c>
      <x:c r="D15" s="64" t="n">
        <x:v>0</x:v>
      </x:c>
      <x:c r="E15" s="64" t="n">
        <x:v>2430000000</x:v>
      </x:c>
      <x:c r="F15" s="65" t="n">
        <x:v>0.94</x:v>
      </x:c>
      <x:c r="G15" s="64" t="n">
        <x:f>SUM(B15:E15)</x:f>
        <x:v>2596960000</x:v>
      </x:c>
      <x:c r="H15" s="66" t="n">
        <x:v>2270</x:v>
      </x:c>
      <x:c r="I15" s="66" t="n">
        <x:v>2270</x:v>
      </x:c>
      <x:c r="J15" s="55"/>
      <x:c r="K15" s="55"/>
      <x:c r="L15" s="55"/>
    </x:row>
    <x:row r="16">
      <x:c r="A16" s="63" t="n">
        <x:v>46245</x:v>
      </x:c>
      <x:c r="B16" s="64" t="n">
        <x:v>228450000</x:v>
      </x:c>
      <x:c r="C16" s="64" t="n">
        <x:v>18730000</x:v>
      </x:c>
      <x:c r="D16" s="64" t="n">
        <x:v>0</x:v>
      </x:c>
      <x:c r="E16" s="64" t="n">
        <x:v>3790000000</x:v>
      </x:c>
      <x:c r="F16" s="65" t="n">
        <x:v>0.943</x:v>
      </x:c>
      <x:c r="G16" s="64" t="n">
        <x:f>SUM(B16:E16)</x:f>
        <x:v>4037180000</x:v>
      </x:c>
      <x:c r="H16" s="66" t="n">
        <x:v>3270</x:v>
      </x:c>
      <x:c r="I16" s="66" t="n">
        <x:v>3270</x:v>
      </x:c>
      <x:c r="J16" s="55"/>
      <x:c r="K16" s="55"/>
      <x:c r="L16" s="55"/>
    </x:row>
    <x:row r="17">
      <x:c r="A17" s="63" t="n">
        <x:v>46246</x:v>
      </x:c>
      <x:c r="B17" s="64" t="n">
        <x:v>398020000</x:v>
      </x:c>
      <x:c r="C17" s="64" t="n">
        <x:v>14580000</x:v>
      </x:c>
      <x:c r="D17" s="64" t="n">
        <x:v>0</x:v>
      </x:c>
      <x:c r="E17" s="64" t="n">
        <x:v>2330000000</x:v>
      </x:c>
      <x:c r="F17" s="65" t="n">
        <x:v>0.854</x:v>
      </x:c>
      <x:c r="G17" s="64" t="n">
        <x:f>SUM(B17:E17)</x:f>
        <x:v>2742600000</x:v>
      </x:c>
      <x:c r="H17" s="66" t="n">
        <x:v>3320</x:v>
      </x:c>
      <x:c r="I17" s="66" t="n">
        <x:v>3320</x:v>
      </x:c>
      <x:c r="J17" s="55"/>
      <x:c r="K17" s="55"/>
      <x:c r="L17" s="55"/>
    </x:row>
    <x:row r="18">
      <x:c r="A18" s="63" t="n">
        <x:v>46247</x:v>
      </x:c>
      <x:c r="B18" s="64" t="n">
        <x:v>398540000</x:v>
      </x:c>
      <x:c r="C18" s="64" t="n">
        <x:v>15490000</x:v>
      </x:c>
      <x:c r="D18" s="64" t="n">
        <x:v>0</x:v>
      </x:c>
      <x:c r="E18" s="64" t="n">
        <x:v>3060000000</x:v>
      </x:c>
      <x:c r="F18" s="65" t="n">
        <x:v>0.885</x:v>
      </x:c>
      <x:c r="G18" s="64" t="n">
        <x:f>SUM(B18:E18)</x:f>
        <x:v>3474030000</x:v>
      </x:c>
      <x:c r="H18" s="66" t="n">
        <x:v>3740</x:v>
      </x:c>
      <x:c r="I18" s="66" t="n">
        <x:v>3740</x:v>
      </x:c>
      <x:c r="J18" s="55"/>
      <x:c r="K18" s="55"/>
      <x:c r="L18" s="55"/>
    </x:row>
    <x:row r="19">
      <x:c r="A19" s="118" t="str">
        <x:v>合计 / Average</x:v>
      </x:c>
      <x:c r="B19" s="119" t="n">
        <x:f>SUM(B8:B18)</x:f>
        <x:v>2144890000</x:v>
      </x:c>
      <x:c r="C19" s="119" t="n">
        <x:f>SUM(C8:C18)</x:f>
        <x:v>134790000</x:v>
      </x:c>
      <x:c r="D19" s="119" t="n">
        <x:f>SUM(D8:D18)</x:f>
        <x:v>84200</x:v>
      </x:c>
      <x:c r="E19" s="119" t="n">
        <x:f>SUM(E8:E18)</x:f>
        <x:v>25460710000</x:v>
      </x:c>
      <x:c r="F19" s="120" t="n">
        <x:f>AVERAGE(F8:F18)</x:f>
        <x:v>0.9267272727272725</x:v>
      </x:c>
      <x:c r="G19" s="119" t="n">
        <x:f>SUM(G8:G18)</x:f>
        <x:v>27740474200</x:v>
      </x:c>
      <x:c r="H19" s="121" t="n">
        <x:f>SUM(H8:H18)</x:f>
        <x:v>25891.64</x:v>
      </x:c>
      <x:c r="I19" s="121" t="n">
        <x:f>SUM(I8:I18)</x:f>
        <x:v>25891.64</x:v>
      </x:c>
      <x:c r="J19" s="55"/>
      <x:c r="K19" s="55"/>
      <x:c r="L19" s="55"/>
    </x:row>
  </x:sheetData>
  <x:mergeCells>
    <x:mergeCell ref="A1:I1"/>
    <x:mergeCell ref="A2:I2"/>
    <x:mergeCell ref="A5:I5"/>
  </x:mergeCells>
  <x:pageMargins left="0.7" right="0.7" top="0.75" bottom="0.75" header="0.3" footer="0.3"/>
  <x:tableParts count="1">
    <x:tablePart xmlns:r="http://schemas.openxmlformats.org/officeDocument/2006/relationships" r:id="Rdf0ad7c5f3e3466f"/>
  </x:tableParts>
</x:worksheet>
</file>