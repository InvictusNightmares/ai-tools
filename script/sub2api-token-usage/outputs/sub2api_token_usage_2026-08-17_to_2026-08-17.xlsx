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b9cceb290640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总" sheetId="1" r:id="R5c05e14b7ce34be4"/>
    <x:sheet xmlns:r="http://schemas.openxmlformats.org/officeDocument/2006/relationships" name="每个Key" sheetId="2" r:id="R5b20d4440e1342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&quot;$&quot;#,##0.0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0"/>
      <x:color rgb="FF334155"/>
      <x:name val="Carlito"/>
    </x:font>
    <x:font>
      <x:b/>
      <x:sz val="10"/>
      <x:color rgb="FFFFFFFF"/>
      <x:name val="Carlito"/>
    </x:font>
    <x:font>
      <x:b/>
      <x:sz val="11"/>
      <x:color rgb="FF14532D"/>
      <x:name val="Carlito"/>
    </x:font>
    <x:font>
      <x:b/>
      <x:sz val="16"/>
      <x:color rgb="FFFFFFFF"/>
      <x:name val="Aptos"/>
    </x:font>
    <x:font>
      <x:i/>
      <x:sz val="10"/>
      <x:color rgb="FF334155"/>
      <x:name val="Aptos"/>
    </x:font>
    <x:font>
      <x:sz val="11"/>
      <x:name val="Aptos"/>
    </x:font>
    <x:font>
      <x:b/>
      <x:sz val="10"/>
      <x:color rgb="FFFFFFFF"/>
      <x:name val="Aptos"/>
    </x:font>
    <x:font>
      <x:b/>
      <x:sz val="11"/>
      <x:color rgb="FF14532D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F8FAFC"/>
      </x:patternFill>
    </x:fill>
    <x:fill>
      <x:patternFill patternType="solid">
        <x:fgColor rgb="FF1E293B"/>
      </x:patternFill>
    </x:fill>
    <x:fill>
      <x:patternFill patternType="solid">
        <x:fgColor rgb="FFDCFCE7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/>
    <x:xf numFmtId="0" fontId="7" fillId="0" borderId="0" xfId="0" applyNumberFormat="1" applyFont="1" applyFill="1" applyBorder="1"/>
    <x:xf numFmtId="0" fontId="8" fillId="4" borderId="1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 applyAlignment="1">
      <x:alignment vertical="center"/>
    </x:xf>
    <x:xf numFmtId="0" fontId="9" fillId="5" borderId="1" xfId="0" applyNumberFormat="1" applyFont="1" applyFill="1" applyBorder="1"/>
    <x:xf numFmtId="0" fontId="6" fillId="3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9" fillId="5" borderId="1" xfId="0" applyNumberFormat="1" applyFont="1" applyFill="1" applyBorder="1" applyAlignment="1">
      <x:alignment vertical="center"/>
    </x:xf>
    <x:xf numFmtId="200" fontId="7" fillId="0" borderId="1" xfId="0" applyNumberFormat="1" applyFont="1" applyFill="1" applyBorder="1" applyAlignment="1">
      <x:alignment vertical="center"/>
    </x:xf>
    <x:xf numFmtId="201" fontId="7" fillId="0" borderId="1" xfId="0" applyNumberFormat="1" applyFont="1" applyFill="1" applyBorder="1" applyAlignment="1">
      <x:alignment vertical="center"/>
    </x:xf>
    <x:xf numFmtId="201" fontId="9" fillId="5" borderId="1" xfId="0" applyNumberFormat="1" applyFont="1" applyFill="1" applyBorder="1" applyAlignment="1">
      <x:alignment vertical="center"/>
    </x:xf>
    <x:xf numFmtId="202" fontId="7" fillId="0" borderId="1" xfId="0" applyNumberFormat="1" applyFont="1" applyFill="1" applyBorder="1" applyAlignment="1">
      <x:alignment vertical="center"/>
    </x:xf>
    <x:xf numFmtId="202" fontId="9" fillId="5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c93315a4e74295" /><Relationship Type="http://schemas.openxmlformats.org/officeDocument/2006/relationships/theme" Target="/xl/theme/theme1.xml" Id="R378a40a89bc04bfe" /><Relationship Type="http://schemas.openxmlformats.org/officeDocument/2006/relationships/sharedStrings" Target="/xl/sharedStrings.xml" Id="Rd7a3d5cc0dc5407c" /><Relationship Type="http://schemas.openxmlformats.org/officeDocument/2006/relationships/worksheet" Target="/xl/worksheets/sheet1.xml" Id="R5c05e14b7ce34be4" /><Relationship Type="http://schemas.openxmlformats.org/officeDocument/2006/relationships/worksheet" Target="/xl/worksheets/sheet2.xml" Id="R5b20d4440e134235" /></Relationships>
</file>

<file path=xl/tables/table1.xml><?xml version="1.0" encoding="utf-8"?>
<x:table xmlns:x="http://schemas.openxmlformats.org/spreadsheetml/2006/main" id="1" name="DailyTokenSummaryTable" displayName="DailyTokenSummaryTable" ref="A4:N6" headerRowCount="1" totalsRowCount="0" totalsRowShown="0">
  <x:tableColumns count="14">
    <x:tableColumn id="1" name="服务器 / Server"/>
    <x:tableColumn id="2" name="日期 / Date"/>
    <x:tableColumn id="3" name="用户数 / Users"/>
    <x:tableColumn id="4" name="Key数 / Keys"/>
    <x:tableColumn id="5" name="请求数 / Requests"/>
    <x:tableColumn id="6" name="Input Token"/>
    <x:tableColumn id="7" name="Output Token"/>
    <x:tableColumn id="8" name="Cache Creation"/>
    <x:tableColumn id="9" name="Cache Read"/>
    <x:tableColumn id="10" name="Image Input"/>
    <x:tableColumn id="11" name="Image Output"/>
    <x:tableColumn id="12" name="Total Token"/>
    <x:tableColumn id="13" name="Total含图片 / Total+Image"/>
    <x:tableColumn id="14" name="Actual Cos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erKeyUsageTable" displayName="PerKeyUsageTable" ref="A4:M64" headerRowCount="1" totalsRowCount="0" totalsRowShown="0">
  <x:tableColumns count="13">
    <x:tableColumn id="1" name="服务器 / Server"/>
    <x:tableColumn id="2" name="Key名称 / Key Name"/>
    <x:tableColumn id="3" name="用户 / User"/>
    <x:tableColumn id="4" name="请求数 / Requests"/>
    <x:tableColumn id="5" name="Input Token"/>
    <x:tableColumn id="6" name="Output Token"/>
    <x:tableColumn id="7" name="Cache Creation"/>
    <x:tableColumn id="8" name="Cache Read"/>
    <x:tableColumn id="9" name="Image Input"/>
    <x:tableColumn id="10" name="Image Output"/>
    <x:tableColumn id="11" name="Total Token"/>
    <x:tableColumn id="12" name="Total含图片 / Total+Image"/>
    <x:tableColumn id="13" name="Actual Cos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3e716401197461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02e29c8ef7c419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3" hidden="0" customWidth="1"/>
    <x:col min="4" max="4" width="13" hidden="0" customWidth="1"/>
    <x:col min="5" max="5" width="13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4" hidden="0" customWidth="1"/>
  </x:cols>
  <x:sheetData>
    <x:row r="1" ht="30" customHeight="1">
      <x:c r="A1" s="16" t="str">
        <x:v>Sub2API Token 用量汇总 / Token Usage Summary</x:v>
      </x:c>
      <x:c r="B1" s="16" t="str">
        <x:v>Sub2API Token 用量汇总 / Token Usage Summary</x:v>
      </x:c>
      <x:c r="C1" s="16" t="str">
        <x:v>Sub2API Token 用量汇总 / Token Usage Summary</x:v>
      </x:c>
      <x:c r="D1" s="16" t="str">
        <x:v>Sub2API Token 用量汇总 / Token Usage Summary</x:v>
      </x:c>
      <x:c r="E1" s="16" t="str">
        <x:v>Sub2API Token 用量汇总 / Token Usage Summary</x:v>
      </x:c>
      <x:c r="F1" s="16" t="str">
        <x:v>Sub2API Token 用量汇总 / Token Usage Summary</x:v>
      </x:c>
      <x:c r="G1" s="16" t="str">
        <x:v>Sub2API Token 用量汇总 / Token Usage Summary</x:v>
      </x:c>
      <x:c r="H1" s="16" t="str">
        <x:v>Sub2API Token 用量汇总 / Token Usage Summary</x:v>
      </x:c>
      <x:c r="I1" s="16" t="str">
        <x:v>Sub2API Token 用量汇总 / Token Usage Summary</x:v>
      </x:c>
      <x:c r="J1" s="16" t="str">
        <x:v>Sub2API Token 用量汇总 / Token Usage Summary</x:v>
      </x:c>
      <x:c r="K1" s="16" t="str">
        <x:v>Sub2API Token 用量汇总 / Token Usage Summary</x:v>
      </x:c>
      <x:c r="L1" s="16" t="str">
        <x:v>Sub2API Token 用量汇总 / Token Usage Summary</x:v>
      </x:c>
      <x:c r="M1" s="16" t="str">
        <x:v>Sub2API Token 用量汇总 / Token Usage Summary</x:v>
      </x:c>
      <x:c r="N1" s="16" t="str">
        <x:v>Sub2API Token 用量汇总 / Token Usage Summary</x:v>
      </x:c>
    </x:row>
    <x:row r="2" ht="24" customHeight="1">
      <x:c r="A2" s="22" t="str">
        <x:v>统计范围 / Period: 2026-08-17 至 2026-08-17；时区 / Timezone: Asia/Shanghai；来源: 美西 qiyuan-us、东京 qiyuan-tokyo</x:v>
      </x:c>
      <x:c r="B2" s="22" t="str">
        <x:v>统计范围 / Period: 2026-08-17 至 2026-08-17；时区 / Timezone: Asia/Shanghai；来源: 美西 qiyuan-us、东京 qiyuan-tokyo</x:v>
      </x:c>
      <x:c r="C2" s="22" t="str">
        <x:v>统计范围 / Period: 2026-08-17 至 2026-08-17；时区 / Timezone: Asia/Shanghai；来源: 美西 qiyuan-us、东京 qiyuan-tokyo</x:v>
      </x:c>
      <x:c r="D2" s="22" t="str">
        <x:v>统计范围 / Period: 2026-08-17 至 2026-08-17；时区 / Timezone: Asia/Shanghai；来源: 美西 qiyuan-us、东京 qiyuan-tokyo</x:v>
      </x:c>
      <x:c r="E2" s="22" t="str">
        <x:v>统计范围 / Period: 2026-08-17 至 2026-08-17；时区 / Timezone: Asia/Shanghai；来源: 美西 qiyuan-us、东京 qiyuan-tokyo</x:v>
      </x:c>
      <x:c r="F2" s="22" t="str">
        <x:v>统计范围 / Period: 2026-08-17 至 2026-08-17；时区 / Timezone: Asia/Shanghai；来源: 美西 qiyuan-us、东京 qiyuan-tokyo</x:v>
      </x:c>
      <x:c r="G2" s="22" t="str">
        <x:v>统计范围 / Period: 2026-08-17 至 2026-08-17；时区 / Timezone: Asia/Shanghai；来源: 美西 qiyuan-us、东京 qiyuan-tokyo</x:v>
      </x:c>
      <x:c r="H2" s="22" t="str">
        <x:v>统计范围 / Period: 2026-08-17 至 2026-08-17；时区 / Timezone: Asia/Shanghai；来源: 美西 qiyuan-us、东京 qiyuan-tokyo</x:v>
      </x:c>
      <x:c r="I2" s="22" t="str">
        <x:v>统计范围 / Period: 2026-08-17 至 2026-08-17；时区 / Timezone: Asia/Shanghai；来源: 美西 qiyuan-us、东京 qiyuan-tokyo</x:v>
      </x:c>
      <x:c r="J2" s="22" t="str">
        <x:v>统计范围 / Period: 2026-08-17 至 2026-08-17；时区 / Timezone: Asia/Shanghai；来源: 美西 qiyuan-us、东京 qiyuan-tokyo</x:v>
      </x:c>
      <x:c r="K2" s="22" t="str">
        <x:v>统计范围 / Period: 2026-08-17 至 2026-08-17；时区 / Timezone: Asia/Shanghai；来源: 美西 qiyuan-us、东京 qiyuan-tokyo</x:v>
      </x:c>
      <x:c r="L2" s="22" t="str">
        <x:v>统计范围 / Period: 2026-08-17 至 2026-08-17；时区 / Timezone: Asia/Shanghai；来源: 美西 qiyuan-us、东京 qiyuan-tokyo</x:v>
      </x:c>
      <x:c r="M2" s="22" t="str">
        <x:v>统计范围 / Period: 2026-08-17 至 2026-08-17；时区 / Timezone: Asia/Shanghai；来源: 美西 qiyuan-us、东京 qiyuan-tokyo</x:v>
      </x:c>
      <x:c r="N2" s="22" t="str">
        <x:v>统计范围 / Period: 2026-08-17 至 2026-08-17；时区 / Timezone: Asia/Shanghai；来源: 美西 qiyuan-us、东京 qiyuan-tokyo</x:v>
      </x:c>
    </x:row>
    <x:row r="3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</x:row>
    <x:row r="4" ht="32" customHeight="1">
      <x:c r="A4" s="19" t="str">
        <x:v>服务器 / Server</x:v>
      </x:c>
      <x:c r="B4" s="19" t="str">
        <x:v>日期 / Date</x:v>
      </x:c>
      <x:c r="C4" s="19" t="str">
        <x:v>用户数 / Users</x:v>
      </x:c>
      <x:c r="D4" s="19" t="str">
        <x:v>Key数 / Keys</x:v>
      </x:c>
      <x:c r="E4" s="19" t="str">
        <x:v>请求数 / Requests</x:v>
      </x:c>
      <x:c r="F4" s="19" t="str">
        <x:v>Input Token</x:v>
      </x:c>
      <x:c r="G4" s="19" t="str">
        <x:v>Output Token</x:v>
      </x:c>
      <x:c r="H4" s="19" t="str">
        <x:v>Cache Creation</x:v>
      </x:c>
      <x:c r="I4" s="19" t="str">
        <x:v>Cache Read</x:v>
      </x:c>
      <x:c r="J4" s="19" t="str">
        <x:v>Image Input</x:v>
      </x:c>
      <x:c r="K4" s="19" t="str">
        <x:v>Image Output</x:v>
      </x:c>
      <x:c r="L4" s="19" t="str">
        <x:v>Total Token</x:v>
      </x:c>
      <x:c r="M4" s="19" t="str">
        <x:v>Total含图片 / Total+Image</x:v>
      </x:c>
      <x:c r="N4" s="19" t="str">
        <x:v>Actual Cost</x:v>
      </x:c>
    </x:row>
    <x:row r="5">
      <x:c r="A5" s="20" t="str">
        <x:v>东京</x:v>
      </x:c>
      <x:c r="B5" s="25" t="n">
        <x:v>46251</x:v>
      </x:c>
      <x:c r="C5" s="26" t="n">
        <x:v>1</x:v>
      </x:c>
      <x:c r="D5" s="26" t="n">
        <x:v>19</x:v>
      </x:c>
      <x:c r="E5" s="26" t="n">
        <x:v>877</x:v>
      </x:c>
      <x:c r="F5" s="26" t="n">
        <x:v>4466135</x:v>
      </x:c>
      <x:c r="G5" s="26" t="n">
        <x:v>810819</x:v>
      </x:c>
      <x:c r="H5" s="26" t="n">
        <x:v>0</x:v>
      </x:c>
      <x:c r="I5" s="26" t="n">
        <x:v>70727552</x:v>
      </x:c>
      <x:c r="J5" s="26" t="n">
        <x:v>0</x:v>
      </x:c>
      <x:c r="K5" s="26" t="n">
        <x:v>0</x:v>
      </x:c>
      <x:c r="L5" s="26" t="n">
        <x:f>SUM(F5:I5)</x:f>
        <x:v>76004506</x:v>
      </x:c>
      <x:c r="M5" s="26" t="n">
        <x:f>L5+J5+K5</x:f>
        <x:v>76004506</x:v>
      </x:c>
      <x:c r="N5" s="28" t="n">
        <x:v>1.0503253656</x:v>
      </x:c>
    </x:row>
    <x:row r="6">
      <x:c r="A6" s="20" t="str">
        <x:v>美西</x:v>
      </x:c>
      <x:c r="B6" s="25" t="n">
        <x:v>46251</x:v>
      </x:c>
      <x:c r="C6" s="26" t="n">
        <x:v>1</x:v>
      </x:c>
      <x:c r="D6" s="26" t="n">
        <x:v>41</x:v>
      </x:c>
      <x:c r="E6" s="26" t="n">
        <x:v>3789</x:v>
      </x:c>
      <x:c r="F6" s="26" t="n">
        <x:v>19372365</x:v>
      </x:c>
      <x:c r="G6" s="26" t="n">
        <x:v>3213426</x:v>
      </x:c>
      <x:c r="H6" s="26" t="n">
        <x:v>0</x:v>
      </x:c>
      <x:c r="I6" s="26" t="n">
        <x:v>446129344</x:v>
      </x:c>
      <x:c r="J6" s="26" t="n">
        <x:v>0</x:v>
      </x:c>
      <x:c r="K6" s="26" t="n">
        <x:v>0</x:v>
      </x:c>
      <x:c r="L6" s="26" t="n">
        <x:f>SUM(F6:I6)</x:f>
        <x:v>468715135</x:v>
      </x:c>
      <x:c r="M6" s="26" t="n">
        <x:f>L6+J6+K6</x:f>
        <x:v>468715135</x:v>
      </x:c>
      <x:c r="N6" s="28" t="n">
        <x:v>5.5897955042</x:v>
      </x:c>
    </x:row>
    <x:row r="7">
      <x:c r="A7" s="24" t="str">
        <x:v>合计 / Total</x:v>
      </x:c>
      <x:c r="B7" s="24"/>
      <x:c r="C7" s="27" t="n">
        <x:f>SUM(C5:C6)</x:f>
        <x:v>2</x:v>
      </x:c>
      <x:c r="D7" s="27" t="n">
        <x:f>SUM(D5:D6)</x:f>
        <x:v>60</x:v>
      </x:c>
      <x:c r="E7" s="27" t="n">
        <x:f>SUM(E5:E6)</x:f>
        <x:v>4666</x:v>
      </x:c>
      <x:c r="F7" s="27" t="n">
        <x:f>SUM(F5:F6)</x:f>
        <x:v>23838500</x:v>
      </x:c>
      <x:c r="G7" s="27" t="n">
        <x:f>SUM(G5:G6)</x:f>
        <x:v>4024245</x:v>
      </x:c>
      <x:c r="H7" s="27" t="n">
        <x:f>SUM(H5:H6)</x:f>
        <x:v>0</x:v>
      </x:c>
      <x:c r="I7" s="27" t="n">
        <x:f>SUM(I5:I6)</x:f>
        <x:v>516856896</x:v>
      </x:c>
      <x:c r="J7" s="27" t="n">
        <x:f>SUM(J5:J6)</x:f>
        <x:v>0</x:v>
      </x:c>
      <x:c r="K7" s="27" t="n">
        <x:f>SUM(K5:K6)</x:f>
        <x:v>0</x:v>
      </x:c>
      <x:c r="L7" s="27" t="n">
        <x:f>SUM(L5:L6)</x:f>
        <x:v>544719641</x:v>
      </x:c>
      <x:c r="M7" s="27" t="n">
        <x:f>SUM(M5:M6)</x:f>
        <x:v>544719641</x:v>
      </x:c>
      <x:c r="N7" s="29" t="n">
        <x:f>SUM(N5:N6)</x:f>
        <x:v>6.6401208698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43e716401197461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4" hidden="0" customWidth="1"/>
  </x:cols>
  <x:sheetData>
    <x:row r="1" ht="30" customHeight="1">
      <x:c r="A1" s="16" t="str">
        <x:v>Sub2API 每个 API Key 用量 / Per-Key Usage</x:v>
      </x:c>
      <x:c r="B1" s="16" t="str">
        <x:v>Sub2API 每个 API Key 用量 / Per-Key Usage</x:v>
      </x:c>
      <x:c r="C1" s="16" t="str">
        <x:v>Sub2API 每个 API Key 用量 / Per-Key Usage</x:v>
      </x:c>
      <x:c r="D1" s="16" t="str">
        <x:v>Sub2API 每个 API Key 用量 / Per-Key Usage</x:v>
      </x:c>
      <x:c r="E1" s="16" t="str">
        <x:v>Sub2API 每个 API Key 用量 / Per-Key Usage</x:v>
      </x:c>
      <x:c r="F1" s="16" t="str">
        <x:v>Sub2API 每个 API Key 用量 / Per-Key Usage</x:v>
      </x:c>
      <x:c r="G1" s="16" t="str">
        <x:v>Sub2API 每个 API Key 用量 / Per-Key Usage</x:v>
      </x:c>
      <x:c r="H1" s="16" t="str">
        <x:v>Sub2API 每个 API Key 用量 / Per-Key Usage</x:v>
      </x:c>
      <x:c r="I1" s="16" t="str">
        <x:v>Sub2API 每个 API Key 用量 / Per-Key Usage</x:v>
      </x:c>
      <x:c r="J1" s="16" t="str">
        <x:v>Sub2API 每个 API Key 用量 / Per-Key Usage</x:v>
      </x:c>
      <x:c r="K1" s="16" t="str">
        <x:v>Sub2API 每个 API Key 用量 / Per-Key Usage</x:v>
      </x:c>
      <x:c r="L1" s="16" t="str">
        <x:v>Sub2API 每个 API Key 用量 / Per-Key Usage</x:v>
      </x:c>
      <x:c r="M1" s="16" t="str">
        <x:v>Sub2API 每个 API Key 用量 / Per-Key Usage</x:v>
      </x:c>
    </x:row>
    <x:row r="2" ht="24" customHeight="1">
      <x:c r="A2" s="22" t="str">
        <x:v>统计范围 / Period: 2026-08-17 至 2026-08-17；按请求次数从多到少排序；API Key 密文未读取或输出</x:v>
      </x:c>
      <x:c r="B2" s="22" t="str">
        <x:v>统计范围 / Period: 2026-08-17 至 2026-08-17；按请求次数从多到少排序；API Key 密文未读取或输出</x:v>
      </x:c>
      <x:c r="C2" s="22" t="str">
        <x:v>统计范围 / Period: 2026-08-17 至 2026-08-17；按请求次数从多到少排序；API Key 密文未读取或输出</x:v>
      </x:c>
      <x:c r="D2" s="22" t="str">
        <x:v>统计范围 / Period: 2026-08-17 至 2026-08-17；按请求次数从多到少排序；API Key 密文未读取或输出</x:v>
      </x:c>
      <x:c r="E2" s="22" t="str">
        <x:v>统计范围 / Period: 2026-08-17 至 2026-08-17；按请求次数从多到少排序；API Key 密文未读取或输出</x:v>
      </x:c>
      <x:c r="F2" s="22" t="str">
        <x:v>统计范围 / Period: 2026-08-17 至 2026-08-17；按请求次数从多到少排序；API Key 密文未读取或输出</x:v>
      </x:c>
      <x:c r="G2" s="22" t="str">
        <x:v>统计范围 / Period: 2026-08-17 至 2026-08-17；按请求次数从多到少排序；API Key 密文未读取或输出</x:v>
      </x:c>
      <x:c r="H2" s="22" t="str">
        <x:v>统计范围 / Period: 2026-08-17 至 2026-08-17；按请求次数从多到少排序；API Key 密文未读取或输出</x:v>
      </x:c>
      <x:c r="I2" s="22" t="str">
        <x:v>统计范围 / Period: 2026-08-17 至 2026-08-17；按请求次数从多到少排序；API Key 密文未读取或输出</x:v>
      </x:c>
      <x:c r="J2" s="22" t="str">
        <x:v>统计范围 / Period: 2026-08-17 至 2026-08-17；按请求次数从多到少排序；API Key 密文未读取或输出</x:v>
      </x:c>
      <x:c r="K2" s="22" t="str">
        <x:v>统计范围 / Period: 2026-08-17 至 2026-08-17；按请求次数从多到少排序；API Key 密文未读取或输出</x:v>
      </x:c>
      <x:c r="L2" s="22" t="str">
        <x:v>统计范围 / Period: 2026-08-17 至 2026-08-17；按请求次数从多到少排序；API Key 密文未读取或输出</x:v>
      </x:c>
      <x:c r="M2" s="22" t="str">
        <x:v>统计范围 / Period: 2026-08-17 至 2026-08-17；按请求次数从多到少排序；API Key 密文未读取或输出</x:v>
      </x:c>
    </x:row>
    <x:row r="3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</x:row>
    <x:row r="4" ht="32" customHeight="1">
      <x:c r="A4" s="19" t="str">
        <x:v>服务器 / Server</x:v>
      </x:c>
      <x:c r="B4" s="19" t="str">
        <x:v>Key名称 / Key Name</x:v>
      </x:c>
      <x:c r="C4" s="19" t="str">
        <x:v>用户 / User</x:v>
      </x:c>
      <x:c r="D4" s="19" t="str">
        <x:v>请求数 / Requests</x:v>
      </x:c>
      <x:c r="E4" s="19" t="str">
        <x:v>Input Token</x:v>
      </x:c>
      <x:c r="F4" s="19" t="str">
        <x:v>Output Token</x:v>
      </x:c>
      <x:c r="G4" s="19" t="str">
        <x:v>Cache Creation</x:v>
      </x:c>
      <x:c r="H4" s="19" t="str">
        <x:v>Cache Read</x:v>
      </x:c>
      <x:c r="I4" s="19" t="str">
        <x:v>Image Input</x:v>
      </x:c>
      <x:c r="J4" s="19" t="str">
        <x:v>Image Output</x:v>
      </x:c>
      <x:c r="K4" s="19" t="str">
        <x:v>Total Token</x:v>
      </x:c>
      <x:c r="L4" s="19" t="str">
        <x:v>Total含图片 / Total+Image</x:v>
      </x:c>
      <x:c r="M4" s="19" t="str">
        <x:v>Actual Cost</x:v>
      </x:c>
    </x:row>
    <x:row r="5">
      <x:c r="A5" s="20" t="str">
        <x:v>美西</x:v>
      </x:c>
      <x:c r="B5" s="20" t="str">
        <x:v>黄羽</x:v>
      </x:c>
      <x:c r="C5" s="20" t="str">
        <x:v>黄羽</x:v>
      </x:c>
      <x:c r="D5" s="26" t="n">
        <x:v>351</x:v>
      </x:c>
      <x:c r="E5" s="26" t="n">
        <x:v>1967221</x:v>
      </x:c>
      <x:c r="F5" s="26" t="n">
        <x:v>335488</x:v>
      </x:c>
      <x:c r="G5" s="26" t="n">
        <x:v>0</x:v>
      </x:c>
      <x:c r="H5" s="26" t="n">
        <x:v>47940160</x:v>
      </x:c>
      <x:c r="I5" s="26" t="n">
        <x:v>0</x:v>
      </x:c>
      <x:c r="J5" s="26" t="n">
        <x:v>0</x:v>
      </x:c>
      <x:c r="K5" s="26" t="n">
        <x:f>SUM(E5:H5)</x:f>
        <x:v>50242869</x:v>
      </x:c>
      <x:c r="L5" s="26" t="n">
        <x:f>K5+I5+J5</x:f>
        <x:v>50242869</x:v>
      </x:c>
      <x:c r="M5" s="28" t="n">
        <x:v>0.780646887</x:v>
      </x:c>
    </x:row>
    <x:row r="6">
      <x:c r="A6" s="20" t="str">
        <x:v>美西</x:v>
      </x:c>
      <x:c r="B6" s="20" t="str">
        <x:v>季杰</x:v>
      </x:c>
      <x:c r="C6" s="20" t="str">
        <x:v>季杰</x:v>
      </x:c>
      <x:c r="D6" s="26" t="n">
        <x:v>340</x:v>
      </x:c>
      <x:c r="E6" s="26" t="n">
        <x:v>605791</x:v>
      </x:c>
      <x:c r="F6" s="26" t="n">
        <x:v>238620</x:v>
      </x:c>
      <x:c r="G6" s="26" t="n">
        <x:v>0</x:v>
      </x:c>
      <x:c r="H6" s="26" t="n">
        <x:v>78930176</x:v>
      </x:c>
      <x:c r="I6" s="26" t="n">
        <x:v>0</x:v>
      </x:c>
      <x:c r="J6" s="26" t="n">
        <x:v>0</x:v>
      </x:c>
      <x:c r="K6" s="26" t="n">
        <x:f>SUM(E6:H6)</x:f>
        <x:v>79774587</x:v>
      </x:c>
      <x:c r="L6" s="26" t="n">
        <x:f>K6+I6+J6</x:f>
        <x:v>79774587</x:v>
      </x:c>
      <x:c r="M6" s="28" t="n">
        <x:v>0.3726288328</x:v>
      </x:c>
    </x:row>
    <x:row r="7">
      <x:c r="A7" s="20" t="str">
        <x:v>美西</x:v>
      </x:c>
      <x:c r="B7" s="20" t="str">
        <x:v>刘鸿飞</x:v>
      </x:c>
      <x:c r="C7" s="20" t="str">
        <x:v>刘鸿飞</x:v>
      </x:c>
      <x:c r="D7" s="26" t="n">
        <x:v>304</x:v>
      </x:c>
      <x:c r="E7" s="26" t="n">
        <x:v>725059</x:v>
      </x:c>
      <x:c r="F7" s="26" t="n">
        <x:v>178069</x:v>
      </x:c>
      <x:c r="G7" s="26" t="n">
        <x:v>0</x:v>
      </x:c>
      <x:c r="H7" s="26" t="n">
        <x:v>43931520</x:v>
      </x:c>
      <x:c r="I7" s="26" t="n">
        <x:v>0</x:v>
      </x:c>
      <x:c r="J7" s="26" t="n">
        <x:v>0</x:v>
      </x:c>
      <x:c r="K7" s="26" t="n">
        <x:f>SUM(E7:H7)</x:f>
        <x:v>44834648</x:v>
      </x:c>
      <x:c r="L7" s="26" t="n">
        <x:f>K7+I7+J7</x:f>
        <x:v>44834648</x:v>
      </x:c>
      <x:c r="M7" s="28" t="n">
        <x:v>0.274375836</x:v>
      </x:c>
    </x:row>
    <x:row r="8">
      <x:c r="A8" s="20" t="str">
        <x:v>美西</x:v>
      </x:c>
      <x:c r="B8" s="20" t="str">
        <x:v>黄粤</x:v>
      </x:c>
      <x:c r="C8" s="20" t="str">
        <x:v>黄粤</x:v>
      </x:c>
      <x:c r="D8" s="26" t="n">
        <x:v>262</x:v>
      </x:c>
      <x:c r="E8" s="26" t="n">
        <x:v>362617</x:v>
      </x:c>
      <x:c r="F8" s="26" t="n">
        <x:v>164825</x:v>
      </x:c>
      <x:c r="G8" s="26" t="n">
        <x:v>0</x:v>
      </x:c>
      <x:c r="H8" s="26" t="n">
        <x:v>32122880</x:v>
      </x:c>
      <x:c r="I8" s="26" t="n">
        <x:v>0</x:v>
      </x:c>
      <x:c r="J8" s="26" t="n">
        <x:v>0</x:v>
      </x:c>
      <x:c r="K8" s="26" t="n">
        <x:f>SUM(E8:H8)</x:f>
        <x:v>32650322</x:v>
      </x:c>
      <x:c r="L8" s="26" t="n">
        <x:f>K8+I8+J8</x:f>
        <x:v>32650322</x:v>
      </x:c>
      <x:c r="M8" s="28" t="n">
        <x:v>0.186861444</x:v>
      </x:c>
    </x:row>
    <x:row r="9">
      <x:c r="A9" s="20" t="str">
        <x:v>美西</x:v>
      </x:c>
      <x:c r="B9" s="20" t="str">
        <x:v>杨驰宇</x:v>
      </x:c>
      <x:c r="C9" s="20" t="str">
        <x:v>杨驰宇</x:v>
      </x:c>
      <x:c r="D9" s="26" t="n">
        <x:v>222</x:v>
      </x:c>
      <x:c r="E9" s="26" t="n">
        <x:v>350212</x:v>
      </x:c>
      <x:c r="F9" s="26" t="n">
        <x:v>142465</x:v>
      </x:c>
      <x:c r="G9" s="26" t="n">
        <x:v>0</x:v>
      </x:c>
      <x:c r="H9" s="26" t="n">
        <x:v>20614912</x:v>
      </x:c>
      <x:c r="I9" s="26" t="n">
        <x:v>0</x:v>
      </x:c>
      <x:c r="J9" s="26" t="n">
        <x:v>0</x:v>
      </x:c>
      <x:c r="K9" s="26" t="n">
        <x:f>SUM(E9:H9)</x:f>
        <x:v>21107589</x:v>
      </x:c>
      <x:c r="L9" s="26" t="n">
        <x:f>K9+I9+J9</x:f>
        <x:v>21107589</x:v>
      </x:c>
      <x:c r="M9" s="28" t="n">
        <x:v>0.1466416336</x:v>
      </x:c>
    </x:row>
    <x:row r="10">
      <x:c r="A10" s="20" t="str">
        <x:v>美西</x:v>
      </x:c>
      <x:c r="B10" s="20" t="str">
        <x:v>张蘅</x:v>
      </x:c>
      <x:c r="C10" s="20" t="str">
        <x:v>张蘅</x:v>
      </x:c>
      <x:c r="D10" s="26" t="n">
        <x:v>221</x:v>
      </x:c>
      <x:c r="E10" s="26" t="n">
        <x:v>1157295</x:v>
      </x:c>
      <x:c r="F10" s="26" t="n">
        <x:v>239555</x:v>
      </x:c>
      <x:c r="G10" s="26" t="n">
        <x:v>0</x:v>
      </x:c>
      <x:c r="H10" s="26" t="n">
        <x:v>21763456</x:v>
      </x:c>
      <x:c r="I10" s="26" t="n">
        <x:v>0</x:v>
      </x:c>
      <x:c r="J10" s="26" t="n">
        <x:v>0</x:v>
      </x:c>
      <x:c r="K10" s="26" t="n">
        <x:f>SUM(E10:H10)</x:f>
        <x:v>23160306</x:v>
      </x:c>
      <x:c r="L10" s="26" t="n">
        <x:f>K10+I10+J10</x:f>
        <x:v>23160306</x:v>
      </x:c>
      <x:c r="M10" s="28" t="n">
        <x:v>0.2900343768</x:v>
      </x:c>
    </x:row>
    <x:row r="11">
      <x:c r="A11" s="20" t="str">
        <x:v>美西</x:v>
      </x:c>
      <x:c r="B11" s="20" t="str">
        <x:v>刘惠惠</x:v>
      </x:c>
      <x:c r="C11" s="20" t="str">
        <x:v>刘惠惠</x:v>
      </x:c>
      <x:c r="D11" s="26" t="n">
        <x:v>209</x:v>
      </x:c>
      <x:c r="E11" s="26" t="n">
        <x:v>1559719</x:v>
      </x:c>
      <x:c r="F11" s="26" t="n">
        <x:v>243379</x:v>
      </x:c>
      <x:c r="G11" s="26" t="n">
        <x:v>0</x:v>
      </x:c>
      <x:c r="H11" s="26" t="n">
        <x:v>11708672</x:v>
      </x:c>
      <x:c r="I11" s="26" t="n">
        <x:v>0</x:v>
      </x:c>
      <x:c r="J11" s="26" t="n">
        <x:v>0</x:v>
      </x:c>
      <x:c r="K11" s="26" t="n">
        <x:f>SUM(E11:H11)</x:f>
        <x:v>13511770</x:v>
      </x:c>
      <x:c r="L11" s="26" t="n">
        <x:f>K11+I11+J11</x:f>
        <x:v>13511770</x:v>
      </x:c>
      <x:c r="M11" s="28" t="n">
        <x:v>0.3496649616</x:v>
      </x:c>
    </x:row>
    <x:row r="12">
      <x:c r="A12" s="20" t="str">
        <x:v>美西</x:v>
      </x:c>
      <x:c r="B12" s="20" t="str">
        <x:v>沈燕伟</x:v>
      </x:c>
      <x:c r="C12" s="20" t="str">
        <x:v>沈燕伟</x:v>
      </x:c>
      <x:c r="D12" s="26" t="n">
        <x:v>206</x:v>
      </x:c>
      <x:c r="E12" s="26" t="n">
        <x:v>3810753</x:v>
      </x:c>
      <x:c r="F12" s="26" t="n">
        <x:v>269031</x:v>
      </x:c>
      <x:c r="G12" s="26" t="n">
        <x:v>0</x:v>
      </x:c>
      <x:c r="H12" s="26" t="n">
        <x:v>28132608</x:v>
      </x:c>
      <x:c r="I12" s="26" t="n">
        <x:v>0</x:v>
      </x:c>
      <x:c r="J12" s="26" t="n">
        <x:v>0</x:v>
      </x:c>
      <x:c r="K12" s="26" t="n">
        <x:f>SUM(E12:H12)</x:f>
        <x:v>32212392</x:v>
      </x:c>
      <x:c r="L12" s="26" t="n">
        <x:f>K12+I12+J12</x:f>
        <x:v>32212392</x:v>
      </x:c>
      <x:c r="M12" s="28" t="n">
        <x:v>0.8956844178</x:v>
      </x:c>
    </x:row>
    <x:row r="13">
      <x:c r="A13" s="20" t="str">
        <x:v>美西</x:v>
      </x:c>
      <x:c r="B13" s="20" t="str">
        <x:v>朱正如</x:v>
      </x:c>
      <x:c r="C13" s="20" t="str">
        <x:v>朱正如</x:v>
      </x:c>
      <x:c r="D13" s="26" t="n">
        <x:v>160</x:v>
      </x:c>
      <x:c r="E13" s="26" t="n">
        <x:v>827093</x:v>
      </x:c>
      <x:c r="F13" s="26" t="n">
        <x:v>233711</x:v>
      </x:c>
      <x:c r="G13" s="26" t="n">
        <x:v>0</x:v>
      </x:c>
      <x:c r="H13" s="26" t="n">
        <x:v>27534080</x:v>
      </x:c>
      <x:c r="I13" s="26" t="n">
        <x:v>0</x:v>
      </x:c>
      <x:c r="J13" s="26" t="n">
        <x:v>0</x:v>
      </x:c>
      <x:c r="K13" s="26" t="n">
        <x:f>SUM(E13:H13)</x:f>
        <x:v>28594884</x:v>
      </x:c>
      <x:c r="L13" s="26" t="n">
        <x:f>K13+I13+J13</x:f>
        <x:v>28594884</x:v>
      </x:c>
      <x:c r="M13" s="28" t="n">
        <x:v>0.258327524</x:v>
      </x:c>
    </x:row>
    <x:row r="14">
      <x:c r="A14" s="20" t="str">
        <x:v>美西</x:v>
      </x:c>
      <x:c r="B14" s="20" t="str">
        <x:v>钟宇星</x:v>
      </x:c>
      <x:c r="C14" s="20" t="str">
        <x:v>钟宇星</x:v>
      </x:c>
      <x:c r="D14" s="26" t="n">
        <x:v>147</x:v>
      </x:c>
      <x:c r="E14" s="26" t="n">
        <x:v>616202</x:v>
      </x:c>
      <x:c r="F14" s="26" t="n">
        <x:v>106638</x:v>
      </x:c>
      <x:c r="G14" s="26" t="n">
        <x:v>0</x:v>
      </x:c>
      <x:c r="H14" s="26" t="n">
        <x:v>14550528</x:v>
      </x:c>
      <x:c r="I14" s="26" t="n">
        <x:v>0</x:v>
      </x:c>
      <x:c r="J14" s="26" t="n">
        <x:v>0</x:v>
      </x:c>
      <x:c r="K14" s="26" t="n">
        <x:f>SUM(E14:H14)</x:f>
        <x:v>15273368</x:v>
      </x:c>
      <x:c r="L14" s="26" t="n">
        <x:f>K14+I14+J14</x:f>
        <x:v>15273368</x:v>
      </x:c>
      <x:c r="M14" s="28" t="n">
        <x:v>0.1568683984</x:v>
      </x:c>
    </x:row>
    <x:row r="15">
      <x:c r="A15" s="20" t="str">
        <x:v>东京</x:v>
      </x:c>
      <x:c r="B15" s="20" t="str">
        <x:v>章浩</x:v>
      </x:c>
      <x:c r="C15" s="20" t="str">
        <x:v>章浩</x:v>
      </x:c>
      <x:c r="D15" s="26" t="n">
        <x:v>132</x:v>
      </x:c>
      <x:c r="E15" s="26" t="n">
        <x:v>860913</x:v>
      </x:c>
      <x:c r="F15" s="26" t="n">
        <x:v>191687</x:v>
      </x:c>
      <x:c r="G15" s="26" t="n">
        <x:v>0</x:v>
      </x:c>
      <x:c r="H15" s="26" t="n">
        <x:v>16467200</x:v>
      </x:c>
      <x:c r="I15" s="26" t="n">
        <x:v>0</x:v>
      </x:c>
      <x:c r="J15" s="26" t="n">
        <x:v>0</x:v>
      </x:c>
      <x:c r="K15" s="26" t="n">
        <x:f>SUM(E15:H15)</x:f>
        <x:v>17519800</x:v>
      </x:c>
      <x:c r="L15" s="26" t="n">
        <x:f>K15+I15+J15</x:f>
        <x:v>17519800</x:v>
      </x:c>
      <x:c r="M15" s="28" t="n">
        <x:v>0.22030834</x:v>
      </x:c>
    </x:row>
    <x:row r="16">
      <x:c r="A16" s="20" t="str">
        <x:v>美西</x:v>
      </x:c>
      <x:c r="B16" s="20" t="str">
        <x:v>李虎虎</x:v>
      </x:c>
      <x:c r="C16" s="20" t="str">
        <x:v>李虎虎</x:v>
      </x:c>
      <x:c r="D16" s="26" t="n">
        <x:v>108</x:v>
      </x:c>
      <x:c r="E16" s="26" t="n">
        <x:v>1013870</x:v>
      </x:c>
      <x:c r="F16" s="26" t="n">
        <x:v>88931</x:v>
      </x:c>
      <x:c r="G16" s="26" t="n">
        <x:v>0</x:v>
      </x:c>
      <x:c r="H16" s="26" t="n">
        <x:v>32104064</x:v>
      </x:c>
      <x:c r="I16" s="26" t="n">
        <x:v>0</x:v>
      </x:c>
      <x:c r="J16" s="26" t="n">
        <x:v>0</x:v>
      </x:c>
      <x:c r="K16" s="26" t="n">
        <x:f>SUM(E16:H16)</x:f>
        <x:v>33206865</x:v>
      </x:c>
      <x:c r="L16" s="26" t="n">
        <x:f>K16+I16+J16</x:f>
        <x:v>33206865</x:v>
      </x:c>
      <x:c r="M16" s="28" t="n">
        <x:v>0.2567338592</x:v>
      </x:c>
    </x:row>
    <x:row r="17">
      <x:c r="A17" s="20" t="str">
        <x:v>东京</x:v>
      </x:c>
      <x:c r="B17" s="20" t="str">
        <x:v>杜文杰</x:v>
      </x:c>
      <x:c r="C17" s="20" t="str">
        <x:v>杜文杰</x:v>
      </x:c>
      <x:c r="D17" s="26" t="n">
        <x:v>105</x:v>
      </x:c>
      <x:c r="E17" s="26" t="n">
        <x:v>552684</x:v>
      </x:c>
      <x:c r="F17" s="26" t="n">
        <x:v>108244</x:v>
      </x:c>
      <x:c r="G17" s="26" t="n">
        <x:v>0</x:v>
      </x:c>
      <x:c r="H17" s="26" t="n">
        <x:v>10089728</x:v>
      </x:c>
      <x:c r="I17" s="26" t="n">
        <x:v>0</x:v>
      </x:c>
      <x:c r="J17" s="26" t="n">
        <x:v>0</x:v>
      </x:c>
      <x:c r="K17" s="26" t="n">
        <x:f>SUM(E17:H17)</x:f>
        <x:v>10750656</x:v>
      </x:c>
      <x:c r="L17" s="26" t="n">
        <x:f>K17+I17+J17</x:f>
        <x:v>10750656</x:v>
      </x:c>
      <x:c r="M17" s="28" t="n">
        <x:v>0.1359353184</x:v>
      </x:c>
    </x:row>
    <x:row r="18">
      <x:c r="A18" s="20" t="str">
        <x:v>东京</x:v>
      </x:c>
      <x:c r="B18" s="20" t="str">
        <x:v>蔺琳</x:v>
      </x:c>
      <x:c r="C18" s="20" t="str">
        <x:v>蔺琳</x:v>
      </x:c>
      <x:c r="D18" s="26" t="n">
        <x:v>104</x:v>
      </x:c>
      <x:c r="E18" s="26" t="n">
        <x:v>376408</x:v>
      </x:c>
      <x:c r="F18" s="26" t="n">
        <x:v>85631</x:v>
      </x:c>
      <x:c r="G18" s="26" t="n">
        <x:v>0</x:v>
      </x:c>
      <x:c r="H18" s="26" t="n">
        <x:v>15342208</x:v>
      </x:c>
      <x:c r="I18" s="26" t="n">
        <x:v>0</x:v>
      </x:c>
      <x:c r="J18" s="26" t="n">
        <x:v>0</x:v>
      </x:c>
      <x:c r="K18" s="26" t="n">
        <x:f>SUM(E18:H18)</x:f>
        <x:v>15804247</x:v>
      </x:c>
      <x:c r="L18" s="26" t="n">
        <x:f>K18+I18+J18</x:f>
        <x:v>15804247</x:v>
      </x:c>
      <x:c r="M18" s="28" t="n">
        <x:v>0.1196319824</x:v>
      </x:c>
    </x:row>
    <x:row r="19">
      <x:c r="A19" s="20" t="str">
        <x:v>美西</x:v>
      </x:c>
      <x:c r="B19" s="20" t="str">
        <x:v>杨涛涛</x:v>
      </x:c>
      <x:c r="C19" s="20" t="str">
        <x:v>杨涛涛</x:v>
      </x:c>
      <x:c r="D19" s="26" t="n">
        <x:v>104</x:v>
      </x:c>
      <x:c r="E19" s="26" t="n">
        <x:v>289972</x:v>
      </x:c>
      <x:c r="F19" s="26" t="n">
        <x:v>81599</x:v>
      </x:c>
      <x:c r="G19" s="26" t="n">
        <x:v>0</x:v>
      </x:c>
      <x:c r="H19" s="26" t="n">
        <x:v>4461824</x:v>
      </x:c>
      <x:c r="I19" s="26" t="n">
        <x:v>0</x:v>
      </x:c>
      <x:c r="J19" s="26" t="n">
        <x:v>0</x:v>
      </x:c>
      <x:c r="K19" s="26" t="n">
        <x:f>SUM(E19:H19)</x:f>
        <x:v>4833395</x:v>
      </x:c>
      <x:c r="L19" s="26" t="n">
        <x:f>K19+I19+J19</x:f>
        <x:v>4833395</x:v>
      </x:c>
      <x:c r="M19" s="28" t="n">
        <x:v>0.0759369072</x:v>
      </x:c>
    </x:row>
    <x:row r="20">
      <x:c r="A20" s="20" t="str">
        <x:v>东京</x:v>
      </x:c>
      <x:c r="B20" s="20" t="str">
        <x:v>高飞</x:v>
      </x:c>
      <x:c r="C20" s="20" t="str">
        <x:v>高飞</x:v>
      </x:c>
      <x:c r="D20" s="26" t="n">
        <x:v>98</x:v>
      </x:c>
      <x:c r="E20" s="26" t="n">
        <x:v>640170</x:v>
      </x:c>
      <x:c r="F20" s="26" t="n">
        <x:v>126662</x:v>
      </x:c>
      <x:c r="G20" s="26" t="n">
        <x:v>0</x:v>
      </x:c>
      <x:c r="H20" s="26" t="n">
        <x:v>6727552</x:v>
      </x:c>
      <x:c r="I20" s="26" t="n">
        <x:v>0</x:v>
      </x:c>
      <x:c r="J20" s="26" t="n">
        <x:v>0</x:v>
      </x:c>
      <x:c r="K20" s="26" t="n">
        <x:f>SUM(E20:H20)</x:f>
        <x:v>7494384</x:v>
      </x:c>
      <x:c r="L20" s="26" t="n">
        <x:f>K20+I20+J20</x:f>
        <x:v>7494384</x:v>
      </x:c>
      <x:c r="M20" s="28" t="n">
        <x:v>0.1439263056</x:v>
      </x:c>
    </x:row>
    <x:row r="21">
      <x:c r="A21" s="20" t="str">
        <x:v>美西</x:v>
      </x:c>
      <x:c r="B21" s="20" t="str">
        <x:v>金明珠</x:v>
      </x:c>
      <x:c r="C21" s="20" t="str">
        <x:v>金明珠</x:v>
      </x:c>
      <x:c r="D21" s="26" t="n">
        <x:v>96</x:v>
      </x:c>
      <x:c r="E21" s="26" t="n">
        <x:v>175890</x:v>
      </x:c>
      <x:c r="F21" s="26" t="n">
        <x:v>47362</x:v>
      </x:c>
      <x:c r="G21" s="26" t="n">
        <x:v>0</x:v>
      </x:c>
      <x:c r="H21" s="26" t="n">
        <x:v>5722880</x:v>
      </x:c>
      <x:c r="I21" s="26" t="n">
        <x:v>0</x:v>
      </x:c>
      <x:c r="J21" s="26" t="n">
        <x:v>0</x:v>
      </x:c>
      <x:c r="K21" s="26" t="n">
        <x:f>SUM(E21:H21)</x:f>
        <x:v>5946132</x:v>
      </x:c>
      <x:c r="L21" s="26" t="n">
        <x:f>K21+I21+J21</x:f>
        <x:v>5946132</x:v>
      </x:c>
      <x:c r="M21" s="28" t="n">
        <x:v>0.053910024</x:v>
      </x:c>
    </x:row>
    <x:row r="22">
      <x:c r="A22" s="20" t="str">
        <x:v>美西</x:v>
      </x:c>
      <x:c r="B22" s="20" t="str">
        <x:v>党傲然</x:v>
      </x:c>
      <x:c r="C22" s="20" t="str">
        <x:v>党傲然</x:v>
      </x:c>
      <x:c r="D22" s="26" t="n">
        <x:v>91</x:v>
      </x:c>
      <x:c r="E22" s="26" t="n">
        <x:v>1225215</x:v>
      </x:c>
      <x:c r="F22" s="26" t="n">
        <x:v>72965</x:v>
      </x:c>
      <x:c r="G22" s="26" t="n">
        <x:v>0</x:v>
      </x:c>
      <x:c r="H22" s="26" t="n">
        <x:v>10413184</x:v>
      </x:c>
      <x:c r="I22" s="26" t="n">
        <x:v>0</x:v>
      </x:c>
      <x:c r="J22" s="26" t="n">
        <x:v>0</x:v>
      </x:c>
      <x:c r="K22" s="26" t="n">
        <x:f>SUM(E22:H22)</x:f>
        <x:v>11711364</x:v>
      </x:c>
      <x:c r="L22" s="26" t="n">
        <x:f>K22+I22+J22</x:f>
        <x:v>11711364</x:v>
      </x:c>
      <x:c r="M22" s="28" t="n">
        <x:v>0.2211172152</x:v>
      </x:c>
    </x:row>
    <x:row r="23">
      <x:c r="A23" s="20" t="str">
        <x:v>美西</x:v>
      </x:c>
      <x:c r="B23" s="20" t="str">
        <x:v>赵传辉</x:v>
      </x:c>
      <x:c r="C23" s="20" t="str">
        <x:v>赵传辉</x:v>
      </x:c>
      <x:c r="D23" s="26" t="n">
        <x:v>89</x:v>
      </x:c>
      <x:c r="E23" s="26" t="n">
        <x:v>149965</x:v>
      </x:c>
      <x:c r="F23" s="26" t="n">
        <x:v>113420</x:v>
      </x:c>
      <x:c r="G23" s="26" t="n">
        <x:v>0</x:v>
      </x:c>
      <x:c r="H23" s="26" t="n">
        <x:v>7637888</x:v>
      </x:c>
      <x:c r="I23" s="26" t="n">
        <x:v>0</x:v>
      </x:c>
      <x:c r="J23" s="26" t="n">
        <x:v>0</x:v>
      </x:c>
      <x:c r="K23" s="26" t="n">
        <x:f>SUM(E23:H23)</x:f>
        <x:v>7901273</x:v>
      </x:c>
      <x:c r="L23" s="26" t="n">
        <x:f>K23+I23+J23</x:f>
        <x:v>7901273</x:v>
      </x:c>
      <x:c r="M23" s="28" t="n">
        <x:v>0.0741387864</x:v>
      </x:c>
    </x:row>
    <x:row r="24">
      <x:c r="A24" s="20" t="str">
        <x:v>美西</x:v>
      </x:c>
      <x:c r="B24" s="20" t="str">
        <x:v>王晓林</x:v>
      </x:c>
      <x:c r="C24" s="20" t="str">
        <x:v>王晓林</x:v>
      </x:c>
      <x:c r="D24" s="26" t="n">
        <x:v>87</x:v>
      </x:c>
      <x:c r="E24" s="26" t="n">
        <x:v>424224</x:v>
      </x:c>
      <x:c r="F24" s="26" t="n">
        <x:v>57260</x:v>
      </x:c>
      <x:c r="G24" s="26" t="n">
        <x:v>0</x:v>
      </x:c>
      <x:c r="H24" s="26" t="n">
        <x:v>4309376</x:v>
      </x:c>
      <x:c r="I24" s="26" t="n">
        <x:v>0</x:v>
      </x:c>
      <x:c r="J24" s="26" t="n">
        <x:v>0</x:v>
      </x:c>
      <x:c r="K24" s="26" t="n">
        <x:f>SUM(E24:H24)</x:f>
        <x:v>4790860</x:v>
      </x:c>
      <x:c r="L24" s="26" t="n">
        <x:f>K24+I24+J24</x:f>
        <x:v>4790860</x:v>
      </x:c>
      <x:c r="M24" s="28" t="n">
        <x:v>0.0874904128</x:v>
      </x:c>
    </x:row>
    <x:row r="25">
      <x:c r="A25" s="20" t="str">
        <x:v>美西</x:v>
      </x:c>
      <x:c r="B25" s="20" t="str">
        <x:v>陆耀华</x:v>
      </x:c>
      <x:c r="C25" s="20" t="str">
        <x:v>陆耀华</x:v>
      </x:c>
      <x:c r="D25" s="26" t="n">
        <x:v>85</x:v>
      </x:c>
      <x:c r="E25" s="26" t="n">
        <x:v>431920</x:v>
      </x:c>
      <x:c r="F25" s="26" t="n">
        <x:v>108346</x:v>
      </x:c>
      <x:c r="G25" s="26" t="n">
        <x:v>0</x:v>
      </x:c>
      <x:c r="H25" s="26" t="n">
        <x:v>11710336</x:v>
      </x:c>
      <x:c r="I25" s="26" t="n">
        <x:v>0</x:v>
      </x:c>
      <x:c r="J25" s="26" t="n">
        <x:v>0</x:v>
      </x:c>
      <x:c r="K25" s="26" t="n">
        <x:f>SUM(E25:H25)</x:f>
        <x:v>12250602</x:v>
      </x:c>
      <x:c r="L25" s="26" t="n">
        <x:f>K25+I25+J25</x:f>
        <x:v>12250602</x:v>
      </x:c>
      <x:c r="M25" s="28" t="n">
        <x:v>0.1263301728</x:v>
      </x:c>
    </x:row>
    <x:row r="26">
      <x:c r="A26" s="20" t="str">
        <x:v>东京</x:v>
      </x:c>
      <x:c r="B26" s="20" t="str">
        <x:v>张坤</x:v>
      </x:c>
      <x:c r="C26" s="20" t="str">
        <x:v>张坤</x:v>
      </x:c>
      <x:c r="D26" s="26" t="n">
        <x:v>84</x:v>
      </x:c>
      <x:c r="E26" s="26" t="n">
        <x:v>449137</x:v>
      </x:c>
      <x:c r="F26" s="26" t="n">
        <x:v>72837</x:v>
      </x:c>
      <x:c r="G26" s="26" t="n">
        <x:v>0</x:v>
      </x:c>
      <x:c r="H26" s="26" t="n">
        <x:v>5514752</x:v>
      </x:c>
      <x:c r="I26" s="26" t="n">
        <x:v>0</x:v>
      </x:c>
      <x:c r="J26" s="26" t="n">
        <x:v>0</x:v>
      </x:c>
      <x:c r="K26" s="26" t="n">
        <x:f>SUM(E26:H26)</x:f>
        <x:v>6036726</x:v>
      </x:c>
      <x:c r="L26" s="26" t="n">
        <x:f>K26+I26+J26</x:f>
        <x:v>6036726</x:v>
      </x:c>
      <x:c r="M26" s="28" t="n">
        <x:v>0.0987148456</x:v>
      </x:c>
    </x:row>
    <x:row r="27">
      <x:c r="A27" s="20" t="str">
        <x:v>美西</x:v>
      </x:c>
      <x:c r="B27" s="20" t="str">
        <x:v>沈志杰</x:v>
      </x:c>
      <x:c r="C27" s="20" t="str">
        <x:v>沈志杰</x:v>
      </x:c>
      <x:c r="D27" s="26" t="n">
        <x:v>77</x:v>
      </x:c>
      <x:c r="E27" s="26" t="n">
        <x:v>372460</x:v>
      </x:c>
      <x:c r="F27" s="26" t="n">
        <x:v>49880</x:v>
      </x:c>
      <x:c r="G27" s="26" t="n">
        <x:v>0</x:v>
      </x:c>
      <x:c r="H27" s="26" t="n">
        <x:v>3266304</x:v>
      </x:c>
      <x:c r="I27" s="26" t="n">
        <x:v>0</x:v>
      </x:c>
      <x:c r="J27" s="26" t="n">
        <x:v>0</x:v>
      </x:c>
      <x:c r="K27" s="26" t="n">
        <x:f>SUM(E27:H27)</x:f>
        <x:v>3688644</x:v>
      </x:c>
      <x:c r="L27" s="26" t="n">
        <x:f>K27+I27+J27</x:f>
        <x:v>3688644</x:v>
      </x:c>
      <x:c r="M27" s="28" t="n">
        <x:v>0.0752564512</x:v>
      </x:c>
    </x:row>
    <x:row r="28">
      <x:c r="A28" s="20" t="str">
        <x:v>美西</x:v>
      </x:c>
      <x:c r="B28" s="20" t="str">
        <x:v>高帅</x:v>
      </x:c>
      <x:c r="C28" s="20" t="str">
        <x:v>高帅</x:v>
      </x:c>
      <x:c r="D28" s="26" t="n">
        <x:v>77</x:v>
      </x:c>
      <x:c r="E28" s="26" t="n">
        <x:v>149778</x:v>
      </x:c>
      <x:c r="F28" s="26" t="n">
        <x:v>42607</x:v>
      </x:c>
      <x:c r="G28" s="26" t="n">
        <x:v>0</x:v>
      </x:c>
      <x:c r="H28" s="26" t="n">
        <x:v>4242560</x:v>
      </x:c>
      <x:c r="I28" s="26" t="n">
        <x:v>0</x:v>
      </x:c>
      <x:c r="J28" s="26" t="n">
        <x:v>0</x:v>
      </x:c>
      <x:c r="K28" s="26" t="n">
        <x:f>SUM(E28:H28)</x:f>
        <x:v>4434945</x:v>
      </x:c>
      <x:c r="L28" s="26" t="n">
        <x:f>K28+I28+J28</x:f>
        <x:v>4434945</x:v>
      </x:c>
      <x:c r="M28" s="28" t="n">
        <x:v>0.044778048</x:v>
      </x:c>
    </x:row>
    <x:row r="29">
      <x:c r="A29" s="20" t="str">
        <x:v>美西</x:v>
      </x:c>
      <x:c r="B29" s="20" t="str">
        <x:v>杨顺祥</x:v>
      </x:c>
      <x:c r="C29" s="20" t="str">
        <x:v>杨顺祥</x:v>
      </x:c>
      <x:c r="D29" s="26" t="n">
        <x:v>72</x:v>
      </x:c>
      <x:c r="E29" s="26" t="n">
        <x:v>230537</x:v>
      </x:c>
      <x:c r="F29" s="26" t="n">
        <x:v>46647</x:v>
      </x:c>
      <x:c r="G29" s="26" t="n">
        <x:v>0</x:v>
      </x:c>
      <x:c r="H29" s="26" t="n">
        <x:v>7387520</x:v>
      </x:c>
      <x:c r="I29" s="26" t="n">
        <x:v>0</x:v>
      </x:c>
      <x:c r="J29" s="26" t="n">
        <x:v>0</x:v>
      </x:c>
      <x:c r="K29" s="26" t="n">
        <x:f>SUM(E29:H29)</x:f>
        <x:v>7664704</x:v>
      </x:c>
      <x:c r="L29" s="26" t="n">
        <x:f>K29+I29+J29</x:f>
        <x:v>7664704</x:v>
      </x:c>
      <x:c r="M29" s="28" t="n">
        <x:v>0.066021396</x:v>
      </x:c>
    </x:row>
    <x:row r="30">
      <x:c r="A30" s="20" t="str">
        <x:v>东京</x:v>
      </x:c>
      <x:c r="B30" s="20" t="str">
        <x:v>蔡刘沁</x:v>
      </x:c>
      <x:c r="C30" s="20" t="str">
        <x:v>蔡刘沁</x:v>
      </x:c>
      <x:c r="D30" s="26" t="n">
        <x:v>69</x:v>
      </x:c>
      <x:c r="E30" s="26" t="n">
        <x:v>137220</x:v>
      </x:c>
      <x:c r="F30" s="26" t="n">
        <x:v>25435</x:v>
      </x:c>
      <x:c r="G30" s="26" t="n">
        <x:v>0</x:v>
      </x:c>
      <x:c r="H30" s="26" t="n">
        <x:v>3036672</x:v>
      </x:c>
      <x:c r="I30" s="26" t="n">
        <x:v>0</x:v>
      </x:c>
      <x:c r="J30" s="26" t="n">
        <x:v>0</x:v>
      </x:c>
      <x:c r="K30" s="26" t="n">
        <x:f>SUM(E30:H30)</x:f>
        <x:v>3199327</x:v>
      </x:c>
      <x:c r="L30" s="26" t="n">
        <x:f>K30+I30+J30</x:f>
        <x:v>3199327</x:v>
      </x:c>
      <x:c r="M30" s="28" t="n">
        <x:v>0.0348352816</x:v>
      </x:c>
    </x:row>
    <x:row r="31">
      <x:c r="A31" s="20" t="str">
        <x:v>美西</x:v>
      </x:c>
      <x:c r="B31" s="20" t="str">
        <x:v>汤复庆</x:v>
      </x:c>
      <x:c r="C31" s="20" t="str">
        <x:v>汤复庆</x:v>
      </x:c>
      <x:c r="D31" s="26" t="n">
        <x:v>56</x:v>
      </x:c>
      <x:c r="E31" s="26" t="n">
        <x:v>172732</x:v>
      </x:c>
      <x:c r="F31" s="26" t="n">
        <x:v>91279</x:v>
      </x:c>
      <x:c r="G31" s="26" t="n">
        <x:v>0</x:v>
      </x:c>
      <x:c r="H31" s="26" t="n">
        <x:v>6144000</x:v>
      </x:c>
      <x:c r="I31" s="26" t="n">
        <x:v>0</x:v>
      </x:c>
      <x:c r="J31" s="26" t="n">
        <x:v>0</x:v>
      </x:c>
      <x:c r="K31" s="26" t="n">
        <x:f>SUM(E31:H31)</x:f>
        <x:v>6408011</x:v>
      </x:c>
      <x:c r="L31" s="26" t="n">
        <x:f>K31+I31+J31</x:f>
        <x:v>6408011</x:v>
      </x:c>
      <x:c r="M31" s="28" t="n">
        <x:v>0.088380996</x:v>
      </x:c>
    </x:row>
    <x:row r="32">
      <x:c r="A32" s="20" t="str">
        <x:v>东京</x:v>
      </x:c>
      <x:c r="B32" s="20" t="str">
        <x:v>钟霞</x:v>
      </x:c>
      <x:c r="C32" s="20" t="str">
        <x:v>钟霞</x:v>
      </x:c>
      <x:c r="D32" s="26" t="n">
        <x:v>54</x:v>
      </x:c>
      <x:c r="E32" s="26" t="n">
        <x:v>180156</x:v>
      </x:c>
      <x:c r="F32" s="26" t="n">
        <x:v>22444</x:v>
      </x:c>
      <x:c r="G32" s="26" t="n">
        <x:v>0</x:v>
      </x:c>
      <x:c r="H32" s="26" t="n">
        <x:v>4097024</x:v>
      </x:c>
      <x:c r="I32" s="26" t="n">
        <x:v>0</x:v>
      </x:c>
      <x:c r="J32" s="26" t="n">
        <x:v>0</x:v>
      </x:c>
      <x:c r="K32" s="26" t="n">
        <x:f>SUM(E32:H32)</x:f>
        <x:v>4299624</x:v>
      </x:c>
      <x:c r="L32" s="26" t="n">
        <x:f>K32+I32+J32</x:f>
        <x:v>4299624</x:v>
      </x:c>
      <x:c r="M32" s="28" t="n">
        <x:v>0.0429778272</x:v>
      </x:c>
    </x:row>
    <x:row r="33">
      <x:c r="A33" s="20" t="str">
        <x:v>美西</x:v>
      </x:c>
      <x:c r="B33" s="20" t="str">
        <x:v>张佳博</x:v>
      </x:c>
      <x:c r="C33" s="20" t="str">
        <x:v>张佳博</x:v>
      </x:c>
      <x:c r="D33" s="26" t="n">
        <x:v>54</x:v>
      </x:c>
      <x:c r="E33" s="26" t="n">
        <x:v>250516</x:v>
      </x:c>
      <x:c r="F33" s="26" t="n">
        <x:v>22659</x:v>
      </x:c>
      <x:c r="G33" s="26" t="n">
        <x:v>0</x:v>
      </x:c>
      <x:c r="H33" s="26" t="n">
        <x:v>3219584</x:v>
      </x:c>
      <x:c r="I33" s="26" t="n">
        <x:v>0</x:v>
      </x:c>
      <x:c r="J33" s="26" t="n">
        <x:v>0</x:v>
      </x:c>
      <x:c r="K33" s="26" t="n">
        <x:f>SUM(E33:H33)</x:f>
        <x:v>3492759</x:v>
      </x:c>
      <x:c r="L33" s="26" t="n">
        <x:f>K33+I33+J33</x:f>
        <x:v>3492759</x:v>
      </x:c>
      <x:c r="M33" s="28" t="n">
        <x:v>0.0504315952</x:v>
      </x:c>
    </x:row>
    <x:row r="34">
      <x:c r="A34" s="20" t="str">
        <x:v>美西</x:v>
      </x:c>
      <x:c r="B34" s="20" t="str">
        <x:v>覃开龙</x:v>
      </x:c>
      <x:c r="C34" s="20" t="str">
        <x:v>覃开龙</x:v>
      </x:c>
      <x:c r="D34" s="26" t="n">
        <x:v>52</x:v>
      </x:c>
      <x:c r="E34" s="26" t="n">
        <x:v>345726</x:v>
      </x:c>
      <x:c r="F34" s="26" t="n">
        <x:v>29229</x:v>
      </x:c>
      <x:c r="G34" s="26" t="n">
        <x:v>0</x:v>
      </x:c>
      <x:c r="H34" s="26" t="n">
        <x:v>1903488</x:v>
      </x:c>
      <x:c r="I34" s="26" t="n">
        <x:v>0</x:v>
      </x:c>
      <x:c r="J34" s="26" t="n">
        <x:v>0</x:v>
      </x:c>
      <x:c r="K34" s="26" t="n">
        <x:f>SUM(E34:H34)</x:f>
        <x:v>2278443</x:v>
      </x:c>
      <x:c r="L34" s="26" t="n">
        <x:f>K34+I34+J34</x:f>
        <x:v>2278443</x:v>
      </x:c>
      <x:c r="M34" s="28" t="n">
        <x:v>0.1279317056</x:v>
      </x:c>
    </x:row>
    <x:row r="35">
      <x:c r="A35" s="20" t="str">
        <x:v>东京</x:v>
      </x:c>
      <x:c r="B35" s="20" t="str">
        <x:v>史宸宇</x:v>
      </x:c>
      <x:c r="C35" s="20" t="str">
        <x:v>史宸宇</x:v>
      </x:c>
      <x:c r="D35" s="26" t="n">
        <x:v>48</x:v>
      </x:c>
      <x:c r="E35" s="26" t="n">
        <x:v>204618</x:v>
      </x:c>
      <x:c r="F35" s="26" t="n">
        <x:v>28403</x:v>
      </x:c>
      <x:c r="G35" s="26" t="n">
        <x:v>0</x:v>
      </x:c>
      <x:c r="H35" s="26" t="n">
        <x:v>1568128</x:v>
      </x:c>
      <x:c r="I35" s="26" t="n">
        <x:v>0</x:v>
      </x:c>
      <x:c r="J35" s="26" t="n">
        <x:v>0</x:v>
      </x:c>
      <x:c r="K35" s="26" t="n">
        <x:f>SUM(E35:H35)</x:f>
        <x:v>1801149</x:v>
      </x:c>
      <x:c r="L35" s="26" t="n">
        <x:f>K35+I35+J35</x:f>
        <x:v>1801149</x:v>
      </x:c>
      <x:c r="M35" s="28" t="n">
        <x:v>0.0409901184</x:v>
      </x:c>
    </x:row>
    <x:row r="36">
      <x:c r="A36" s="20" t="str">
        <x:v>东京</x:v>
      </x:c>
      <x:c r="B36" s="20" t="str">
        <x:v>王丽莹</x:v>
      </x:c>
      <x:c r="C36" s="20" t="str">
        <x:v>王丽莹</x:v>
      </x:c>
      <x:c r="D36" s="26" t="n">
        <x:v>42</x:v>
      </x:c>
      <x:c r="E36" s="26" t="n">
        <x:v>67367</x:v>
      </x:c>
      <x:c r="F36" s="26" t="n">
        <x:v>39441</x:v>
      </x:c>
      <x:c r="G36" s="26" t="n">
        <x:v>0</x:v>
      </x:c>
      <x:c r="H36" s="26" t="n">
        <x:v>2098560</x:v>
      </x:c>
      <x:c r="I36" s="26" t="n">
        <x:v>0</x:v>
      </x:c>
      <x:c r="J36" s="26" t="n">
        <x:v>0</x:v>
      </x:c>
      <x:c r="K36" s="26" t="n">
        <x:f>SUM(E36:H36)</x:f>
        <x:v>2205368</x:v>
      </x:c>
      <x:c r="L36" s="26" t="n">
        <x:f>K36+I36+J36</x:f>
        <x:v>2205368</x:v>
      </x:c>
      <x:c r="M36" s="28" t="n">
        <x:v>0.026350828</x:v>
      </x:c>
    </x:row>
    <x:row r="37">
      <x:c r="A37" s="20" t="str">
        <x:v>美西</x:v>
      </x:c>
      <x:c r="B37" s="20" t="str">
        <x:v>王长贵</x:v>
      </x:c>
      <x:c r="C37" s="20" t="str">
        <x:v>王长贵</x:v>
      </x:c>
      <x:c r="D37" s="26" t="n">
        <x:v>42</x:v>
      </x:c>
      <x:c r="E37" s="26" t="n">
        <x:v>167303</x:v>
      </x:c>
      <x:c r="F37" s="26" t="n">
        <x:v>42773</x:v>
      </x:c>
      <x:c r="G37" s="26" t="n">
        <x:v>0</x:v>
      </x:c>
      <x:c r="H37" s="26" t="n">
        <x:v>1981056</x:v>
      </x:c>
      <x:c r="I37" s="26" t="n">
        <x:v>0</x:v>
      </x:c>
      <x:c r="J37" s="26" t="n">
        <x:v>0</x:v>
      </x:c>
      <x:c r="K37" s="26" t="n">
        <x:f>SUM(E37:H37)</x:f>
        <x:v>2191132</x:v>
      </x:c>
      <x:c r="L37" s="26" t="n">
        <x:f>K37+I37+J37</x:f>
        <x:v>2191132</x:v>
      </x:c>
      <x:c r="M37" s="28" t="n">
        <x:v>0.0409458168</x:v>
      </x:c>
    </x:row>
    <x:row r="38">
      <x:c r="A38" s="20" t="str">
        <x:v>美西</x:v>
      </x:c>
      <x:c r="B38" s="20" t="str">
        <x:v>陈启帆</x:v>
      </x:c>
      <x:c r="C38" s="20" t="str">
        <x:v>陈启帆</x:v>
      </x:c>
      <x:c r="D38" s="26" t="n">
        <x:v>39</x:v>
      </x:c>
      <x:c r="E38" s="26" t="n">
        <x:v>180950</x:v>
      </x:c>
      <x:c r="F38" s="26" t="n">
        <x:v>56831</x:v>
      </x:c>
      <x:c r="G38" s="26" t="n">
        <x:v>0</x:v>
      </x:c>
      <x:c r="H38" s="26" t="n">
        <x:v>3671680</x:v>
      </x:c>
      <x:c r="I38" s="26" t="n">
        <x:v>0</x:v>
      </x:c>
      <x:c r="J38" s="26" t="n">
        <x:v>0</x:v>
      </x:c>
      <x:c r="K38" s="26" t="n">
        <x:f>SUM(E38:H38)</x:f>
        <x:v>3909461</x:v>
      </x:c>
      <x:c r="L38" s="26" t="n">
        <x:f>K38+I38+J38</x:f>
        <x:v>3909461</x:v>
      </x:c>
      <x:c r="M38" s="28" t="n">
        <x:v>0.0561037804</x:v>
      </x:c>
    </x:row>
    <x:row r="39">
      <x:c r="A39" s="20" t="str">
        <x:v>美西</x:v>
      </x:c>
      <x:c r="B39" s="20" t="str">
        <x:v>夏斯建</x:v>
      </x:c>
      <x:c r="C39" s="20" t="str">
        <x:v>夏斯建</x:v>
      </x:c>
      <x:c r="D39" s="26" t="n">
        <x:v>38</x:v>
      </x:c>
      <x:c r="E39" s="26" t="n">
        <x:v>94189</x:v>
      </x:c>
      <x:c r="F39" s="26" t="n">
        <x:v>12087</x:v>
      </x:c>
      <x:c r="G39" s="26" t="n">
        <x:v>0</x:v>
      </x:c>
      <x:c r="H39" s="26" t="n">
        <x:v>1838976</x:v>
      </x:c>
      <x:c r="I39" s="26" t="n">
        <x:v>0</x:v>
      </x:c>
      <x:c r="J39" s="26" t="n">
        <x:v>0</x:v>
      </x:c>
      <x:c r="K39" s="26" t="n">
        <x:f>SUM(E39:H39)</x:f>
        <x:v>1945252</x:v>
      </x:c>
      <x:c r="L39" s="26" t="n">
        <x:f>K39+I39+J39</x:f>
        <x:v>1945252</x:v>
      </x:c>
      <x:c r="M39" s="28" t="n">
        <x:v>0.0217199528</x:v>
      </x:c>
    </x:row>
    <x:row r="40">
      <x:c r="A40" s="20" t="str">
        <x:v>东京</x:v>
      </x:c>
      <x:c r="B40" s="20" t="str">
        <x:v>孙毅堂</x:v>
      </x:c>
      <x:c r="C40" s="20" t="str">
        <x:v>孙毅堂</x:v>
      </x:c>
      <x:c r="D40" s="26" t="n">
        <x:v>35</x:v>
      </x:c>
      <x:c r="E40" s="26" t="n">
        <x:v>213476</x:v>
      </x:c>
      <x:c r="F40" s="26" t="n">
        <x:v>21844</x:v>
      </x:c>
      <x:c r="G40" s="26" t="n">
        <x:v>0</x:v>
      </x:c>
      <x:c r="H40" s="26" t="n">
        <x:v>455424</x:v>
      </x:c>
      <x:c r="I40" s="26" t="n">
        <x:v>0</x:v>
      </x:c>
      <x:c r="J40" s="26" t="n">
        <x:v>0</x:v>
      </x:c>
      <x:c r="K40" s="26" t="n">
        <x:f>SUM(E40:H40)</x:f>
        <x:v>690744</x:v>
      </x:c>
      <x:c r="L40" s="26" t="n">
        <x:f>K40+I40+J40</x:f>
        <x:v>690744</x:v>
      </x:c>
      <x:c r="M40" s="28" t="n">
        <x:v>0.0372781472</x:v>
      </x:c>
    </x:row>
    <x:row r="41">
      <x:c r="A41" s="20" t="str">
        <x:v>美西</x:v>
      </x:c>
      <x:c r="B41" s="20" t="str">
        <x:v>李家鑫</x:v>
      </x:c>
      <x:c r="C41" s="20" t="str">
        <x:v>李家鑫</x:v>
      </x:c>
      <x:c r="D41" s="26" t="n">
        <x:v>34</x:v>
      </x:c>
      <x:c r="E41" s="26" t="n">
        <x:v>157731</x:v>
      </x:c>
      <x:c r="F41" s="26" t="n">
        <x:v>36673</x:v>
      </x:c>
      <x:c r="G41" s="26" t="n">
        <x:v>0</x:v>
      </x:c>
      <x:c r="H41" s="26" t="n">
        <x:v>1297792</x:v>
      </x:c>
      <x:c r="I41" s="26" t="n">
        <x:v>0</x:v>
      </x:c>
      <x:c r="J41" s="26" t="n">
        <x:v>0</x:v>
      </x:c>
      <x:c r="K41" s="26" t="n">
        <x:f>SUM(E41:H41)</x:f>
        <x:v>1492196</x:v>
      </x:c>
      <x:c r="L41" s="26" t="n">
        <x:f>K41+I41+J41</x:f>
        <x:v>1492196</x:v>
      </x:c>
      <x:c r="M41" s="28" t="n">
        <x:v>0.0359845976</x:v>
      </x:c>
    </x:row>
    <x:row r="42">
      <x:c r="A42" s="20" t="str">
        <x:v>美西</x:v>
      </x:c>
      <x:c r="B42" s="20" t="str">
        <x:v>许贻鑫</x:v>
      </x:c>
      <x:c r="C42" s="20" t="str">
        <x:v>许贻鑫</x:v>
      </x:c>
      <x:c r="D42" s="26" t="n">
        <x:v>34</x:v>
      </x:c>
      <x:c r="E42" s="26" t="n">
        <x:v>813169</x:v>
      </x:c>
      <x:c r="F42" s="26" t="n">
        <x:v>29094</x:v>
      </x:c>
      <x:c r="G42" s="26" t="n">
        <x:v>0</x:v>
      </x:c>
      <x:c r="H42" s="26" t="n">
        <x:v>5205120</x:v>
      </x:c>
      <x:c r="I42" s="26" t="n">
        <x:v>0</x:v>
      </x:c>
      <x:c r="J42" s="26" t="n">
        <x:v>0</x:v>
      </x:c>
      <x:c r="K42" s="26" t="n">
        <x:f>SUM(E42:H42)</x:f>
        <x:v>6047383</x:v>
      </x:c>
      <x:c r="L42" s="26" t="n">
        <x:f>K42+I42+J42</x:f>
        <x:v>6047383</x:v>
      </x:c>
      <x:c r="M42" s="28" t="n">
        <x:v>0.2346409802</x:v>
      </x:c>
    </x:row>
    <x:row r="43">
      <x:c r="A43" s="20" t="str">
        <x:v>美西</x:v>
      </x:c>
      <x:c r="B43" s="20" t="str">
        <x:v>吴廷福</x:v>
      </x:c>
      <x:c r="C43" s="20" t="str">
        <x:v>吴廷福</x:v>
      </x:c>
      <x:c r="D43" s="26" t="n">
        <x:v>26</x:v>
      </x:c>
      <x:c r="E43" s="26" t="n">
        <x:v>49618</x:v>
      </x:c>
      <x:c r="F43" s="26" t="n">
        <x:v>2022</x:v>
      </x:c>
      <x:c r="G43" s="26" t="n">
        <x:v>0</x:v>
      </x:c>
      <x:c r="H43" s="26" t="n">
        <x:v>17024</x:v>
      </x:c>
      <x:c r="I43" s="26" t="n">
        <x:v>0</x:v>
      </x:c>
      <x:c r="J43" s="26" t="n">
        <x:v>0</x:v>
      </x:c>
      <x:c r="K43" s="26" t="n">
        <x:f>SUM(E43:H43)</x:f>
        <x:v>68664</x:v>
      </x:c>
      <x:c r="L43" s="26" t="n">
        <x:f>K43+I43+J43</x:f>
        <x:v>68664</x:v>
      </x:c>
      <x:c r="M43" s="28" t="n">
        <x:v>0.0075603472</x:v>
      </x:c>
    </x:row>
    <x:row r="44">
      <x:c r="A44" s="20" t="str">
        <x:v>东京</x:v>
      </x:c>
      <x:c r="B44" s="20" t="str">
        <x:v>徐云</x:v>
      </x:c>
      <x:c r="C44" s="20" t="str">
        <x:v>徐云</x:v>
      </x:c>
      <x:c r="D44" s="26" t="n">
        <x:v>25</x:v>
      </x:c>
      <x:c r="E44" s="26" t="n">
        <x:v>45188</x:v>
      </x:c>
      <x:c r="F44" s="26" t="n">
        <x:v>9297</x:v>
      </x:c>
      <x:c r="G44" s="26" t="n">
        <x:v>0</x:v>
      </x:c>
      <x:c r="H44" s="26" t="n">
        <x:v>920320</x:v>
      </x:c>
      <x:c r="I44" s="26" t="n">
        <x:v>0</x:v>
      </x:c>
      <x:c r="J44" s="26" t="n">
        <x:v>0</x:v>
      </x:c>
      <x:c r="K44" s="26" t="n">
        <x:f>SUM(E44:H44)</x:f>
        <x:v>974805</x:v>
      </x:c>
      <x:c r="L44" s="26" t="n">
        <x:f>K44+I44+J44</x:f>
        <x:v>974805</x:v>
      </x:c>
      <x:c r="M44" s="28" t="n">
        <x:v>0.011506376</x:v>
      </x:c>
    </x:row>
    <x:row r="45">
      <x:c r="A45" s="20" t="str">
        <x:v>东京</x:v>
      </x:c>
      <x:c r="B45" s="20" t="str">
        <x:v>马丹妮</x:v>
      </x:c>
      <x:c r="C45" s="20" t="str">
        <x:v>马丹妮</x:v>
      </x:c>
      <x:c r="D45" s="26" t="n">
        <x:v>25</x:v>
      </x:c>
      <x:c r="E45" s="26" t="n">
        <x:v>29202</x:v>
      </x:c>
      <x:c r="F45" s="26" t="n">
        <x:v>15294</x:v>
      </x:c>
      <x:c r="G45" s="26" t="n">
        <x:v>0</x:v>
      </x:c>
      <x:c r="H45" s="26" t="n">
        <x:v>665472</x:v>
      </x:c>
      <x:c r="I45" s="26" t="n">
        <x:v>0</x:v>
      </x:c>
      <x:c r="J45" s="26" t="n">
        <x:v>0</x:v>
      </x:c>
      <x:c r="K45" s="26" t="n">
        <x:f>SUM(E45:H45)</x:f>
        <x:v>709968</x:v>
      </x:c>
      <x:c r="L45" s="26" t="n">
        <x:f>K45+I45+J45</x:f>
        <x:v>709968</x:v>
      </x:c>
      <x:c r="M45" s="28" t="n">
        <x:v>0.0102339216</x:v>
      </x:c>
    </x:row>
    <x:row r="46">
      <x:c r="A46" s="20" t="str">
        <x:v>美西</x:v>
      </x:c>
      <x:c r="B46" s="20" t="str">
        <x:v>顾后铨</x:v>
      </x:c>
      <x:c r="C46" s="20" t="str">
        <x:v>顾后铨</x:v>
      </x:c>
      <x:c r="D46" s="26" t="n">
        <x:v>25</x:v>
      </x:c>
      <x:c r="E46" s="26" t="n">
        <x:v>112211</x:v>
      </x:c>
      <x:c r="F46" s="26" t="n">
        <x:v>10050</x:v>
      </x:c>
      <x:c r="G46" s="26" t="n">
        <x:v>0</x:v>
      </x:c>
      <x:c r="H46" s="26" t="n">
        <x:v>964096</x:v>
      </x:c>
      <x:c r="I46" s="26" t="n">
        <x:v>0</x:v>
      </x:c>
      <x:c r="J46" s="26" t="n">
        <x:v>0</x:v>
      </x:c>
      <x:c r="K46" s="26" t="n">
        <x:f>SUM(E46:H46)</x:f>
        <x:v>1086357</x:v>
      </x:c>
      <x:c r="L46" s="26" t="n">
        <x:f>K46+I46+J46</x:f>
        <x:v>1086357</x:v>
      </x:c>
      <x:c r="M46" s="28" t="n">
        <x:v>0.0212230088</x:v>
      </x:c>
    </x:row>
    <x:row r="47">
      <x:c r="A47" s="20" t="str">
        <x:v>美西</x:v>
      </x:c>
      <x:c r="B47" s="20" t="str">
        <x:v>张成</x:v>
      </x:c>
      <x:c r="C47" s="20" t="str">
        <x:v>张成</x:v>
      </x:c>
      <x:c r="D47" s="26" t="n">
        <x:v>21</x:v>
      </x:c>
      <x:c r="E47" s="26" t="n">
        <x:v>304119</x:v>
      </x:c>
      <x:c r="F47" s="26" t="n">
        <x:v>4715</x:v>
      </x:c>
      <x:c r="G47" s="26" t="n">
        <x:v>0</x:v>
      </x:c>
      <x:c r="H47" s="26" t="n">
        <x:v>737664</x:v>
      </x:c>
      <x:c r="I47" s="26" t="n">
        <x:v>0</x:v>
      </x:c>
      <x:c r="J47" s="26" t="n">
        <x:v>0</x:v>
      </x:c>
      <x:c r="K47" s="26" t="n">
        <x:f>SUM(E47:H47)</x:f>
        <x:v>1046498</x:v>
      </x:c>
      <x:c r="L47" s="26" t="n">
        <x:f>K47+I47+J47</x:f>
        <x:v>1046498</x:v>
      </x:c>
      <x:c r="M47" s="28" t="n">
        <x:v>0.066342518</x:v>
      </x:c>
    </x:row>
    <x:row r="48">
      <x:c r="A48" s="20" t="str">
        <x:v>东京</x:v>
      </x:c>
      <x:c r="B48" s="20" t="str">
        <x:v>耿梦阳</x:v>
      </x:c>
      <x:c r="C48" s="20" t="str">
        <x:v>耿梦阳</x:v>
      </x:c>
      <x:c r="D48" s="26" t="n">
        <x:v>17</x:v>
      </x:c>
      <x:c r="E48" s="26" t="n">
        <x:v>257515</x:v>
      </x:c>
      <x:c r="F48" s="26" t="n">
        <x:v>11879</x:v>
      </x:c>
      <x:c r="G48" s="26" t="n">
        <x:v>0</x:v>
      </x:c>
      <x:c r="H48" s="26" t="n">
        <x:v>786944</x:v>
      </x:c>
      <x:c r="I48" s="26" t="n">
        <x:v>0</x:v>
      </x:c>
      <x:c r="J48" s="26" t="n">
        <x:v>0</x:v>
      </x:c>
      <x:c r="K48" s="26" t="n">
        <x:f>SUM(E48:H48)</x:f>
        <x:v>1056338</x:v>
      </x:c>
      <x:c r="L48" s="26" t="n">
        <x:f>K48+I48+J48</x:f>
        <x:v>1056338</x:v>
      </x:c>
      <x:c r="M48" s="28" t="n">
        <x:v>0.0415816632</x:v>
      </x:c>
    </x:row>
    <x:row r="49">
      <x:c r="A49" s="20" t="str">
        <x:v>东京</x:v>
      </x:c>
      <x:c r="B49" s="20" t="str">
        <x:v>李章飞</x:v>
      </x:c>
      <x:c r="C49" s="20" t="str">
        <x:v>李章飞</x:v>
      </x:c>
      <x:c r="D49" s="26" t="n">
        <x:v>15</x:v>
      </x:c>
      <x:c r="E49" s="26" t="n">
        <x:v>304172</x:v>
      </x:c>
      <x:c r="F49" s="26" t="n">
        <x:v>38962</x:v>
      </x:c>
      <x:c r="G49" s="26" t="n">
        <x:v>0</x:v>
      </x:c>
      <x:c r="H49" s="26" t="n">
        <x:v>2547584</x:v>
      </x:c>
      <x:c r="I49" s="26" t="n">
        <x:v>0</x:v>
      </x:c>
      <x:c r="J49" s="26" t="n">
        <x:v>0</x:v>
      </x:c>
      <x:c r="K49" s="26" t="n">
        <x:f>SUM(E49:H49)</x:f>
        <x:v>2890718</x:v>
      </x:c>
      <x:c r="L49" s="26" t="n">
        <x:f>K49+I49+J49</x:f>
        <x:v>2890718</x:v>
      </x:c>
      <x:c r="M49" s="28" t="n">
        <x:v>0.0606266752</x:v>
      </x:c>
    </x:row>
    <x:row r="50">
      <x:c r="A50" s="20" t="str">
        <x:v>东京</x:v>
      </x:c>
      <x:c r="B50" s="20" t="str">
        <x:v>赵瑞芳</x:v>
      </x:c>
      <x:c r="C50" s="20" t="str">
        <x:v>赵瑞芳</x:v>
      </x:c>
      <x:c r="D50" s="26" t="n">
        <x:v>14</x:v>
      </x:c>
      <x:c r="E50" s="26" t="n">
        <x:v>10631</x:v>
      </x:c>
      <x:c r="F50" s="26" t="n">
        <x:v>4785</x:v>
      </x:c>
      <x:c r="G50" s="26" t="n">
        <x:v>0</x:v>
      </x:c>
      <x:c r="H50" s="26" t="n">
        <x:v>208384</x:v>
      </x:c>
      <x:c r="I50" s="26" t="n">
        <x:v>0</x:v>
      </x:c>
      <x:c r="J50" s="26" t="n">
        <x:v>0</x:v>
      </x:c>
      <x:c r="K50" s="26" t="n">
        <x:f>SUM(E50:H50)</x:f>
        <x:v>223800</x:v>
      </x:c>
      <x:c r="L50" s="26" t="n">
        <x:f>K50+I50+J50</x:f>
        <x:v>223800</x:v>
      </x:c>
      <x:c r="M50" s="28" t="n">
        <x:v>0.0034116152</x:v>
      </x:c>
    </x:row>
    <x:row r="51">
      <x:c r="A51" s="20" t="str">
        <x:v>美西</x:v>
      </x:c>
      <x:c r="B51" s="20" t="str">
        <x:v>雷世攀</x:v>
      </x:c>
      <x:c r="C51" s="20" t="str">
        <x:v>雷世攀</x:v>
      </x:c>
      <x:c r="D51" s="26" t="n">
        <x:v>13</x:v>
      </x:c>
      <x:c r="E51" s="26" t="n">
        <x:v>77361</x:v>
      </x:c>
      <x:c r="F51" s="26" t="n">
        <x:v>3865</x:v>
      </x:c>
      <x:c r="G51" s="26" t="n">
        <x:v>0</x:v>
      </x:c>
      <x:c r="H51" s="26" t="n">
        <x:v>265472</x:v>
      </x:c>
      <x:c r="I51" s="26" t="n">
        <x:v>0</x:v>
      </x:c>
      <x:c r="J51" s="26" t="n">
        <x:v>0</x:v>
      </x:c>
      <x:c r="K51" s="26" t="n">
        <x:f>SUM(E51:H51)</x:f>
        <x:v>346698</x:v>
      </x:c>
      <x:c r="L51" s="26" t="n">
        <x:f>K51+I51+J51</x:f>
        <x:v>346698</x:v>
      </x:c>
      <x:c r="M51" s="28" t="n">
        <x:v>0.0126560616</x:v>
      </x:c>
    </x:row>
    <x:row r="52">
      <x:c r="A52" s="20" t="str">
        <x:v>美西</x:v>
      </x:c>
      <x:c r="B52" s="20" t="str">
        <x:v>程金荣</x:v>
      </x:c>
      <x:c r="C52" s="20" t="str">
        <x:v>程金荣</x:v>
      </x:c>
      <x:c r="D52" s="26" t="n">
        <x:v>12</x:v>
      </x:c>
      <x:c r="E52" s="26" t="n">
        <x:v>14553</x:v>
      </x:c>
      <x:c r="F52" s="26" t="n">
        <x:v>3435</x:v>
      </x:c>
      <x:c r="G52" s="26" t="n">
        <x:v>0</x:v>
      </x:c>
      <x:c r="H52" s="26" t="n">
        <x:v>1280</x:v>
      </x:c>
      <x:c r="I52" s="26" t="n">
        <x:v>0</x:v>
      </x:c>
      <x:c r="J52" s="26" t="n">
        <x:v>0</x:v>
      </x:c>
      <x:c r="K52" s="26" t="n">
        <x:f>SUM(E52:H52)</x:f>
        <x:v>19268</x:v>
      </x:c>
      <x:c r="L52" s="26" t="n">
        <x:f>K52+I52+J52</x:f>
        <x:v>19268</x:v>
      </x:c>
      <x:c r="M52" s="28" t="n">
        <x:v>0.003002804</x:v>
      </x:c>
    </x:row>
    <x:row r="53">
      <x:c r="A53" s="20" t="str">
        <x:v>美西</x:v>
      </x:c>
      <x:c r="B53" s="20" t="str">
        <x:v>陈志豪</x:v>
      </x:c>
      <x:c r="C53" s="20" t="str">
        <x:v>陈志豪</x:v>
      </x:c>
      <x:c r="D53" s="26" t="n">
        <x:v>12</x:v>
      </x:c>
      <x:c r="E53" s="26" t="n">
        <x:v>59880</x:v>
      </x:c>
      <x:c r="F53" s="26" t="n">
        <x:v>2496</x:v>
      </x:c>
      <x:c r="G53" s="26" t="n">
        <x:v>0</x:v>
      </x:c>
      <x:c r="H53" s="26" t="n">
        <x:v>166912</x:v>
      </x:c>
      <x:c r="I53" s="26" t="n">
        <x:v>0</x:v>
      </x:c>
      <x:c r="J53" s="26" t="n">
        <x:v>0</x:v>
      </x:c>
      <x:c r="K53" s="26" t="n">
        <x:f>SUM(E53:H53)</x:f>
        <x:v>229288</x:v>
      </x:c>
      <x:c r="L53" s="26" t="n">
        <x:f>K53+I53+J53</x:f>
        <x:v>229288</x:v>
      </x:c>
      <x:c r="M53" s="28" t="n">
        <x:v>0.0095494336</x:v>
      </x:c>
    </x:row>
    <x:row r="54">
      <x:c r="A54" s="20" t="str">
        <x:v>美西</x:v>
      </x:c>
      <x:c r="B54" s="20" t="str">
        <x:v>陈玉发</x:v>
      </x:c>
      <x:c r="C54" s="20" t="str">
        <x:v>陈玉发</x:v>
      </x:c>
      <x:c r="D54" s="26" t="n">
        <x:v>8</x:v>
      </x:c>
      <x:c r="E54" s="26" t="n">
        <x:v>23862</x:v>
      </x:c>
      <x:c r="F54" s="26" t="n">
        <x:v>2381</x:v>
      </x:c>
      <x:c r="G54" s="26" t="n">
        <x:v>0</x:v>
      </x:c>
      <x:c r="H54" s="26" t="n">
        <x:v>118144</x:v>
      </x:c>
      <x:c r="I54" s="26" t="n">
        <x:v>0</x:v>
      </x:c>
      <x:c r="J54" s="26" t="n">
        <x:v>0</x:v>
      </x:c>
      <x:c r="K54" s="26" t="n">
        <x:f>SUM(E54:H54)</x:f>
        <x:v>144387</x:v>
      </x:c>
      <x:c r="L54" s="26" t="n">
        <x:f>K54+I54+J54</x:f>
        <x:v>144387</x:v>
      </x:c>
      <x:c r="M54" s="28" t="n">
        <x:v>0.0043381632</x:v>
      </x:c>
    </x:row>
    <x:row r="55">
      <x:c r="A55" s="20" t="str">
        <x:v>美西</x:v>
      </x:c>
      <x:c r="B55" s="20" t="str">
        <x:v>付晓镇</x:v>
      </x:c>
      <x:c r="C55" s="20" t="str">
        <x:v>付晓镇</x:v>
      </x:c>
      <x:c r="D55" s="26" t="n">
        <x:v>6</x:v>
      </x:c>
      <x:c r="E55" s="26" t="n">
        <x:v>33002</x:v>
      </x:c>
      <x:c r="F55" s="26" t="n">
        <x:v>1478</x:v>
      </x:c>
      <x:c r="G55" s="26" t="n">
        <x:v>0</x:v>
      </x:c>
      <x:c r="H55" s="26" t="n">
        <x:v>91520</x:v>
      </x:c>
      <x:c r="I55" s="26" t="n">
        <x:v>0</x:v>
      </x:c>
      <x:c r="J55" s="26" t="n">
        <x:v>0</x:v>
      </x:c>
      <x:c r="K55" s="26" t="n">
        <x:f>SUM(E55:H55)</x:f>
        <x:v>126000</x:v>
      </x:c>
      <x:c r="L55" s="26" t="n">
        <x:f>K55+I55+J55</x:f>
        <x:v>126000</x:v>
      </x:c>
      <x:c r="M55" s="28" t="n">
        <x:v>0.005290376</x:v>
      </x:c>
    </x:row>
    <x:row r="56">
      <x:c r="A56" s="20" t="str">
        <x:v>东京</x:v>
      </x:c>
      <x:c r="B56" s="20" t="str">
        <x:v>顾亚辉</x:v>
      </x:c>
      <x:c r="C56" s="20" t="str">
        <x:v>顾亚辉</x:v>
      </x:c>
      <x:c r="D56" s="26" t="n">
        <x:v>5</x:v>
      </x:c>
      <x:c r="E56" s="26" t="n">
        <x:v>36792</x:v>
      </x:c>
      <x:c r="F56" s="26" t="n">
        <x:v>4575</x:v>
      </x:c>
      <x:c r="G56" s="26" t="n">
        <x:v>0</x:v>
      </x:c>
      <x:c r="H56" s="26" t="n">
        <x:v>120448</x:v>
      </x:c>
      <x:c r="I56" s="26" t="n">
        <x:v>0</x:v>
      </x:c>
      <x:c r="J56" s="26" t="n">
        <x:v>0</x:v>
      </x:c>
      <x:c r="K56" s="26" t="n">
        <x:f>SUM(E56:H56)</x:f>
        <x:v>161815</x:v>
      </x:c>
      <x:c r="L56" s="26" t="n">
        <x:f>K56+I56+J56</x:f>
        <x:v>161815</x:v>
      </x:c>
      <x:c r="M56" s="28" t="n">
        <x:v>0.0067691344</x:v>
      </x:c>
    </x:row>
    <x:row r="57">
      <x:c r="A57" s="20" t="str">
        <x:v>美西</x:v>
      </x:c>
      <x:c r="B57" s="20" t="str">
        <x:v>胡鑫</x:v>
      </x:c>
      <x:c r="C57" s="20" t="str">
        <x:v>胡鑫</x:v>
      </x:c>
      <x:c r="D57" s="26" t="n">
        <x:v>3</x:v>
      </x:c>
      <x:c r="E57" s="26" t="n">
        <x:v>23370</x:v>
      </x:c>
      <x:c r="F57" s="26" t="n">
        <x:v>293</x:v>
      </x:c>
      <x:c r="G57" s="26" t="n">
        <x:v>0</x:v>
      </x:c>
      <x:c r="H57" s="26" t="n">
        <x:v>4736</x:v>
      </x:c>
      <x:c r="I57" s="26" t="n">
        <x:v>0</x:v>
      </x:c>
      <x:c r="J57" s="26" t="n">
        <x:v>0</x:v>
      </x:c>
      <x:c r="K57" s="26" t="n">
        <x:f>SUM(E57:H57)</x:f>
        <x:v>28399</x:v>
      </x:c>
      <x:c r="L57" s="26" t="n">
        <x:f>K57+I57+J57</x:f>
        <x:v>28399</x:v>
      </x:c>
      <x:c r="M57" s="28" t="n">
        <x:v>0.0033671008</x:v>
      </x:c>
    </x:row>
    <x:row r="58">
      <x:c r="A58" s="20" t="str">
        <x:v>东京</x:v>
      </x:c>
      <x:c r="B58" s="20" t="str">
        <x:v>江亮</x:v>
      </x:c>
      <x:c r="C58" s="20" t="str">
        <x:v>江亮</x:v>
      </x:c>
      <x:c r="D58" s="26" t="n">
        <x:v>2</x:v>
      </x:c>
      <x:c r="E58" s="26" t="n">
        <x:v>75800</x:v>
      </x:c>
      <x:c r="F58" s="26" t="n">
        <x:v>2845</x:v>
      </x:c>
      <x:c r="G58" s="26" t="n">
        <x:v>0</x:v>
      </x:c>
      <x:c r="H58" s="26" t="n">
        <x:v>75648</x:v>
      </x:c>
      <x:c r="I58" s="26" t="n">
        <x:v>0</x:v>
      </x:c>
      <x:c r="J58" s="26" t="n">
        <x:v>0</x:v>
      </x:c>
      <x:c r="K58" s="26" t="n">
        <x:f>SUM(E58:H58)</x:f>
        <x:v>154293</x:v>
      </x:c>
      <x:c r="L58" s="26" t="n">
        <x:f>K58+I58+J58</x:f>
        <x:v>154293</x:v>
      </x:c>
      <x:c r="M58" s="28" t="n">
        <x:v>0.0116204144</x:v>
      </x:c>
    </x:row>
    <x:row r="59">
      <x:c r="A59" s="20" t="str">
        <x:v>东京</x:v>
      </x:c>
      <x:c r="B59" s="20" t="str">
        <x:v>穆学文</x:v>
      </x:c>
      <x:c r="C59" s="20" t="str">
        <x:v>穆学文</x:v>
      </x:c>
      <x:c r="D59" s="26" t="n">
        <x:v>2</x:v>
      </x:c>
      <x:c r="E59" s="26" t="n">
        <x:v>14112</x:v>
      </x:c>
      <x:c r="F59" s="26" t="n">
        <x:v>437</x:v>
      </x:c>
      <x:c r="G59" s="26" t="n">
        <x:v>0</x:v>
      </x:c>
      <x:c r="H59" s="26" t="n">
        <x:v>512</x:v>
      </x:c>
      <x:c r="I59" s="26" t="n">
        <x:v>0</x:v>
      </x:c>
      <x:c r="J59" s="26" t="n">
        <x:v>0</x:v>
      </x:c>
      <x:c r="K59" s="26" t="n">
        <x:f>SUM(E59:H59)</x:f>
        <x:v>15061</x:v>
      </x:c>
      <x:c r="L59" s="26" t="n">
        <x:f>K59+I59+J59</x:f>
        <x:v>15061</x:v>
      </x:c>
      <x:c r="M59" s="28" t="n">
        <x:v>0.0020994736</x:v>
      </x:c>
    </x:row>
    <x:row r="60">
      <x:c r="A60" s="20" t="str">
        <x:v>美西</x:v>
      </x:c>
      <x:c r="B60" s="20" t="str">
        <x:v>冯猛</x:v>
      </x:c>
      <x:c r="C60" s="20" t="str">
        <x:v>冯猛</x:v>
      </x:c>
      <x:c r="D60" s="26" t="n">
        <x:v>2</x:v>
      </x:c>
      <x:c r="E60" s="26" t="n">
        <x:v>27600</x:v>
      </x:c>
      <x:c r="F60" s="26" t="n">
        <x:v>317</x:v>
      </x:c>
      <x:c r="G60" s="26" t="n">
        <x:v>0</x:v>
      </x:c>
      <x:c r="H60" s="26" t="n">
        <x:v>8832</x:v>
      </x:c>
      <x:c r="I60" s="26" t="n">
        <x:v>0</x:v>
      </x:c>
      <x:c r="J60" s="26" t="n">
        <x:v>0</x:v>
      </x:c>
      <x:c r="K60" s="26" t="n">
        <x:f>SUM(E60:H60)</x:f>
        <x:v>36749</x:v>
      </x:c>
      <x:c r="L60" s="26" t="n">
        <x:f>K60+I60+J60</x:f>
        <x:v>36749</x:v>
      </x:c>
      <x:c r="M60" s="28" t="n">
        <x:v>0.0039774896</x:v>
      </x:c>
    </x:row>
    <x:row r="61">
      <x:c r="A61" s="20" t="str">
        <x:v>美西</x:v>
      </x:c>
      <x:c r="B61" s="20" t="str">
        <x:v>刘新生</x:v>
      </x:c>
      <x:c r="C61" s="20" t="str">
        <x:v>刘新生</x:v>
      </x:c>
      <x:c r="D61" s="26" t="n">
        <x:v>2</x:v>
      </x:c>
      <x:c r="E61" s="26" t="n">
        <x:v>8302</x:v>
      </x:c>
      <x:c r="F61" s="26" t="n">
        <x:v>917</x:v>
      </x:c>
      <x:c r="G61" s="26" t="n">
        <x:v>0</x:v>
      </x:c>
      <x:c r="H61" s="26" t="n">
        <x:v>2560</x:v>
      </x:c>
      <x:c r="I61" s="26" t="n">
        <x:v>0</x:v>
      </x:c>
      <x:c r="J61" s="26" t="n">
        <x:v>0</x:v>
      </x:c>
      <x:c r="K61" s="26" t="n">
        <x:f>SUM(E61:H61)</x:f>
        <x:v>11779</x:v>
      </x:c>
      <x:c r="L61" s="26" t="n">
        <x:f>K61+I61+J61</x:f>
        <x:v>11779</x:v>
      </x:c>
      <x:c r="M61" s="28" t="n">
        <x:v>0.001426208</x:v>
      </x:c>
    </x:row>
    <x:row r="62">
      <x:c r="A62" s="20" t="str">
        <x:v>东京</x:v>
      </x:c>
      <x:c r="B62" s="20" t="str">
        <x:v>欧玲燕</x:v>
      </x:c>
      <x:c r="C62" s="20" t="str">
        <x:v>欧玲燕</x:v>
      </x:c>
      <x:c r="D62" s="26" t="n">
        <x:v>1</x:v>
      </x:c>
      <x:c r="E62" s="26" t="n">
        <x:v>10574</x:v>
      </x:c>
      <x:c r="F62" s="26" t="n">
        <x:v>117</x:v>
      </x:c>
      <x:c r="G62" s="26" t="n">
        <x:v>0</x:v>
      </x:c>
      <x:c r="H62" s="26" t="n">
        <x:v>4992</x:v>
      </x:c>
      <x:c r="I62" s="26" t="n">
        <x:v>0</x:v>
      </x:c>
      <x:c r="J62" s="26" t="n">
        <x:v>0</x:v>
      </x:c>
      <x:c r="K62" s="26" t="n">
        <x:f>SUM(E62:H62)</x:f>
        <x:v>15683</x:v>
      </x:c>
      <x:c r="L62" s="26" t="n">
        <x:f>K62+I62+J62</x:f>
        <x:v>15683</x:v>
      </x:c>
      <x:c r="M62" s="28" t="n">
        <x:v>0.0015270976</x:v>
      </x:c>
    </x:row>
    <x:row r="63">
      <x:c r="A63" s="20" t="str">
        <x:v>美西</x:v>
      </x:c>
      <x:c r="B63" s="20" t="str">
        <x:v>产爱军</x:v>
      </x:c>
      <x:c r="C63" s="20" t="str">
        <x:v>产爱军</x:v>
      </x:c>
      <x:c r="D63" s="26" t="n">
        <x:v>1</x:v>
      </x:c>
      <x:c r="E63" s="26" t="n">
        <x:v>10291</x:v>
      </x:c>
      <x:c r="F63" s="26" t="n">
        <x:v>2</x:v>
      </x:c>
      <x:c r="G63" s="26" t="n">
        <x:v>0</x:v>
      </x:c>
      <x:c r="H63" s="26" t="n">
        <x:v>4480</x:v>
      </x:c>
      <x:c r="I63" s="26" t="n">
        <x:v>0</x:v>
      </x:c>
      <x:c r="J63" s="26" t="n">
        <x:v>0</x:v>
      </x:c>
      <x:c r="K63" s="26" t="n">
        <x:f>SUM(E63:H63)</x:f>
        <x:v>14773</x:v>
      </x:c>
      <x:c r="L63" s="26" t="n">
        <x:f>K63+I63+J63</x:f>
        <x:v>14773</x:v>
      </x:c>
      <x:c r="M63" s="28" t="n">
        <x:v>0.001453844</x:v>
      </x:c>
    </x:row>
    <x:row r="64">
      <x:c r="A64" s="20" t="str">
        <x:v>美西</x:v>
      </x:c>
      <x:c r="B64" s="20" t="str">
        <x:v>张扬</x:v>
      </x:c>
      <x:c r="C64" s="20" t="str">
        <x:v>张扬</x:v>
      </x:c>
      <x:c r="D64" s="26" t="n">
        <x:v>1</x:v>
      </x:c>
      <x:c r="E64" s="26" t="n">
        <x:v>87</x:v>
      </x:c>
      <x:c r="F64" s="26" t="n">
        <x:v>32</x:v>
      </x:c>
      <x:c r="G64" s="26" t="n">
        <x:v>0</x:v>
      </x:c>
      <x:c r="H64" s="26" t="n">
        <x:v>0</x:v>
      </x:c>
      <x:c r="I64" s="26" t="n">
        <x:v>0</x:v>
      </x:c>
      <x:c r="J64" s="26" t="n">
        <x:v>0</x:v>
      </x:c>
      <x:c r="K64" s="26" t="n">
        <x:f>SUM(E64:H64)</x:f>
        <x:v>119</x:v>
      </x:c>
      <x:c r="L64" s="26" t="n">
        <x:f>K64+I64+J64</x:f>
        <x:v>119</x:v>
      </x:c>
      <x:c r="M64" s="28" t="n">
        <x:v>0.00002114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e02e29c8ef7c4191"/>
  </x:tableParts>
</x:worksheet>
</file>