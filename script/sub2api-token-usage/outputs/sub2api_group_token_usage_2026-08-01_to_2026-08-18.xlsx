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19230eae6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06d4bb36bb44d73"/>
    <x:sheet xmlns:r="http://schemas.openxmlformats.org/officeDocument/2006/relationships" name="每个分组" sheetId="2" r:id="R4a15d4ec51e8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.0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0"/>
      <x:color rgb="FFFFFFFF"/>
      <x:name val="Carlito"/>
    </x:font>
    <x:font>
      <x:b/>
      <x:sz val="11"/>
      <x:color rgb="FF14532D"/>
      <x:name val="Carlito"/>
    </x:font>
    <x:font>
      <x:b/>
      <x:sz val="16"/>
      <x:color rgb="FFFFFFFF"/>
      <x:name val="Aptos"/>
    </x:font>
    <x:font>
      <x:i/>
      <x:sz val="10"/>
      <x:color rgb="FF334155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11"/>
      <x:color rgb="FF14532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1" fontId="9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f3a9d48014656" /><Relationship Type="http://schemas.openxmlformats.org/officeDocument/2006/relationships/theme" Target="/xl/theme/theme1.xml" Id="R1ea3ec9b98914e2e" /><Relationship Type="http://schemas.openxmlformats.org/officeDocument/2006/relationships/sharedStrings" Target="/xl/sharedStrings.xml" Id="R8609473d70ff4294" /><Relationship Type="http://schemas.openxmlformats.org/officeDocument/2006/relationships/worksheet" Target="/xl/worksheets/sheet1.xml" Id="Re06d4bb36bb44d73" /><Relationship Type="http://schemas.openxmlformats.org/officeDocument/2006/relationships/worksheet" Target="/xl/worksheets/sheet2.xml" Id="R4a15d4ec51e84284" /></Relationships>
</file>

<file path=xl/tables/table1.xml><?xml version="1.0" encoding="utf-8"?>
<x:table xmlns:x="http://schemas.openxmlformats.org/spreadsheetml/2006/main" id="1" name="GroupUsageSummaryTable" displayName="GroupUsageSummaryTable" ref="A4:L6" headerRowCount="1" totalsRowCount="0" totalsRowShown="0">
  <x:tableColumns count="12">
    <x:tableColumn id="1" name="服务器 / Server"/>
    <x:tableColumn id="2" name="分组数 / Groups"/>
    <x:tableColumn id="3" name="请求数 / Requests"/>
    <x:tableColumn id="4" name="Input Token"/>
    <x:tableColumn id="5" name="Output Token"/>
    <x:tableColumn id="6" name="Cache Creation"/>
    <x:tableColumn id="7" name="Cache Read"/>
    <x:tableColumn id="8" name="Image Input"/>
    <x:tableColumn id="9" name="Image Output"/>
    <x:tableColumn id="10" name="Total Token"/>
    <x:tableColumn id="11" name="Total含图片 / Total+Image"/>
    <x:tableColumn id="12" name="Actual 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GroupUsageTable" displayName="PerGroupUsageTable" ref="A4:M14" headerRowCount="1" totalsRowCount="0" totalsRowShown="0">
  <x:tableColumns count="13">
    <x:tableColumn id="1" name="服务器 / Server"/>
    <x:tableColumn id="2" name="分组 / Group"/>
    <x:tableColumn id="3" name="Key数 / Keys"/>
    <x:tableColumn id="4" name="请求数 / Requests"/>
    <x:tableColumn id="5" name="Input Token"/>
    <x:tableColumn id="6" name="Output Token"/>
    <x:tableColumn id="7" name="Cache Creation"/>
    <x:tableColumn id="8" name="Cache Read"/>
    <x:tableColumn id="9" name="Image Input"/>
    <x:tableColumn id="10" name="Image Output"/>
    <x:tableColumn id="11" name="Total Token"/>
    <x:tableColumn id="12" name="Total含图片 / Total+Image"/>
    <x:tableColumn id="13" name="Actual 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a56948e75d4d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0f8bbe24ee49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</x:cols>
  <x:sheetData>
    <x:row r="1" ht="30" customHeight="1">
      <x:c r="A1" s="16" t="str">
        <x:v>Sub2API 分组 Token 用量汇总 / Group Token Usage Summary</x:v>
      </x:c>
      <x:c r="B1" s="16" t="str">
        <x:v>Sub2API 分组 Token 用量汇总 / Group Token Usage Summary</x:v>
      </x:c>
      <x:c r="C1" s="16" t="str">
        <x:v>Sub2API 分组 Token 用量汇总 / Group Token Usage Summary</x:v>
      </x:c>
      <x:c r="D1" s="16" t="str">
        <x:v>Sub2API 分组 Token 用量汇总 / Group Token Usage Summary</x:v>
      </x:c>
      <x:c r="E1" s="16" t="str">
        <x:v>Sub2API 分组 Token 用量汇总 / Group Token Usage Summary</x:v>
      </x:c>
      <x:c r="F1" s="16" t="str">
        <x:v>Sub2API 分组 Token 用量汇总 / Group Token Usage Summary</x:v>
      </x:c>
      <x:c r="G1" s="16" t="str">
        <x:v>Sub2API 分组 Token 用量汇总 / Group Token Usage Summary</x:v>
      </x:c>
      <x:c r="H1" s="16" t="str">
        <x:v>Sub2API 分组 Token 用量汇总 / Group Token Usage Summary</x:v>
      </x:c>
      <x:c r="I1" s="16" t="str">
        <x:v>Sub2API 分组 Token 用量汇总 / Group Token Usage Summary</x:v>
      </x:c>
      <x:c r="J1" s="16" t="str">
        <x:v>Sub2API 分组 Token 用量汇总 / Group Token Usage Summary</x:v>
      </x:c>
      <x:c r="K1" s="16" t="str">
        <x:v>Sub2API 分组 Token 用量汇总 / Group Token Usage Summary</x:v>
      </x:c>
      <x:c r="L1" s="16" t="str">
        <x:v>Sub2API 分组 Token 用量汇总 / Group Token Usage Summary</x:v>
      </x:c>
    </x:row>
    <x:row r="2" ht="24" customHeight="1">
      <x:c r="A2" s="22" t="str">
        <x:v>统计范围 / Period: 2026-08-01 至 2026-08-18；时区 / Timezone: Asia/Shanghai；来源: 美西 qiyuan-us、东京 qiyuan-tokyo；按 usage_logs.group_id 归属</x:v>
      </x:c>
      <x:c r="B2" s="22" t="str">
        <x:v>统计范围 / Period: 2026-08-01 至 2026-08-18；时区 / Timezone: Asia/Shanghai；来源: 美西 qiyuan-us、东京 qiyuan-tokyo；按 usage_logs.group_id 归属</x:v>
      </x:c>
      <x:c r="C2" s="22" t="str">
        <x:v>统计范围 / Period: 2026-08-01 至 2026-08-18；时区 / Timezone: Asia/Shanghai；来源: 美西 qiyuan-us、东京 qiyuan-tokyo；按 usage_logs.group_id 归属</x:v>
      </x:c>
      <x:c r="D2" s="22" t="str">
        <x:v>统计范围 / Period: 2026-08-01 至 2026-08-18；时区 / Timezone: Asia/Shanghai；来源: 美西 qiyuan-us、东京 qiyuan-tokyo；按 usage_logs.group_id 归属</x:v>
      </x:c>
      <x:c r="E2" s="22" t="str">
        <x:v>统计范围 / Period: 2026-08-01 至 2026-08-18；时区 / Timezone: Asia/Shanghai；来源: 美西 qiyuan-us、东京 qiyuan-tokyo；按 usage_logs.group_id 归属</x:v>
      </x:c>
      <x:c r="F2" s="22" t="str">
        <x:v>统计范围 / Period: 2026-08-01 至 2026-08-18；时区 / Timezone: Asia/Shanghai；来源: 美西 qiyuan-us、东京 qiyuan-tokyo；按 usage_logs.group_id 归属</x:v>
      </x:c>
      <x:c r="G2" s="22" t="str">
        <x:v>统计范围 / Period: 2026-08-01 至 2026-08-18；时区 / Timezone: Asia/Shanghai；来源: 美西 qiyuan-us、东京 qiyuan-tokyo；按 usage_logs.group_id 归属</x:v>
      </x:c>
      <x:c r="H2" s="22" t="str">
        <x:v>统计范围 / Period: 2026-08-01 至 2026-08-18；时区 / Timezone: Asia/Shanghai；来源: 美西 qiyuan-us、东京 qiyuan-tokyo；按 usage_logs.group_id 归属</x:v>
      </x:c>
      <x:c r="I2" s="22" t="str">
        <x:v>统计范围 / Period: 2026-08-01 至 2026-08-18；时区 / Timezone: Asia/Shanghai；来源: 美西 qiyuan-us、东京 qiyuan-tokyo；按 usage_logs.group_id 归属</x:v>
      </x:c>
      <x:c r="J2" s="22" t="str">
        <x:v>统计范围 / Period: 2026-08-01 至 2026-08-18；时区 / Timezone: Asia/Shanghai；来源: 美西 qiyuan-us、东京 qiyuan-tokyo；按 usage_logs.group_id 归属</x:v>
      </x:c>
      <x:c r="K2" s="22" t="str">
        <x:v>统计范围 / Period: 2026-08-01 至 2026-08-18；时区 / Timezone: Asia/Shanghai；来源: 美西 qiyuan-us、东京 qiyuan-tokyo；按 usage_logs.group_id 归属</x:v>
      </x:c>
      <x:c r="L2" s="22" t="str">
        <x:v>统计范围 / Period: 2026-08-01 至 2026-08-18；时区 / Timezone: Asia/Shanghai；来源: 美西 qiyuan-us、东京 qiyuan-tokyo；按 usage_logs.group_id 归属</x:v>
      </x:c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 ht="32" customHeight="1">
      <x:c r="A4" s="19" t="str">
        <x:v>服务器 / Server</x:v>
      </x:c>
      <x:c r="B4" s="19" t="str">
        <x:v>分组数 / Groups</x:v>
      </x:c>
      <x:c r="C4" s="19" t="str">
        <x:v>请求数 / Requests</x:v>
      </x:c>
      <x:c r="D4" s="19" t="str">
        <x:v>Input Token</x:v>
      </x:c>
      <x:c r="E4" s="19" t="str">
        <x:v>Output Token</x:v>
      </x:c>
      <x:c r="F4" s="19" t="str">
        <x:v>Cache Creation</x:v>
      </x:c>
      <x:c r="G4" s="19" t="str">
        <x:v>Cache Read</x:v>
      </x:c>
      <x:c r="H4" s="19" t="str">
        <x:v>Image Input</x:v>
      </x:c>
      <x:c r="I4" s="19" t="str">
        <x:v>Image Output</x:v>
      </x:c>
      <x:c r="J4" s="19" t="str">
        <x:v>Total Token</x:v>
      </x:c>
      <x:c r="K4" s="19" t="str">
        <x:v>Total含图片 / Total+Image</x:v>
      </x:c>
      <x:c r="L4" s="19" t="str">
        <x:v>Actual Cost</x:v>
      </x:c>
    </x:row>
    <x:row r="5">
      <x:c r="A5" s="20" t="str">
        <x:v>东京</x:v>
      </x:c>
      <x:c r="B5" s="25" t="n">
        <x:v>8</x:v>
      </x:c>
      <x:c r="C5" s="25" t="n">
        <x:v>184058</x:v>
      </x:c>
      <x:c r="D5" s="25" t="n">
        <x:v>1555690163</x:v>
      </x:c>
      <x:c r="E5" s="25" t="n">
        <x:v>98451440</x:v>
      </x:c>
      <x:c r="F5" s="25" t="n">
        <x:v>0</x:v>
      </x:c>
      <x:c r="G5" s="25" t="n">
        <x:v>16460098048</x:v>
      </x:c>
      <x:c r="H5" s="25" t="n">
        <x:v>0</x:v>
      </x:c>
      <x:c r="I5" s="25" t="n">
        <x:v>4038693</x:v>
      </x:c>
      <x:c r="J5" s="25" t="n">
        <x:f>SUM(D5:G5)</x:f>
        <x:v>18114239651</x:v>
      </x:c>
      <x:c r="K5" s="25" t="n">
        <x:f>J5+H5+I5</x:f>
        <x:v>18118278344</x:v>
      </x:c>
      <x:c r="L5" s="27" t="n">
        <x:v>20104.9369074832</x:v>
      </x:c>
    </x:row>
    <x:row r="6">
      <x:c r="A6" s="20" t="str">
        <x:v>美西</x:v>
      </x:c>
      <x:c r="B6" s="25" t="n">
        <x:v>2</x:v>
      </x:c>
      <x:c r="C6" s="25" t="n">
        <x:v>287650</x:v>
      </x:c>
      <x:c r="D6" s="25" t="n">
        <x:v>2471868947</x:v>
      </x:c>
      <x:c r="E6" s="25" t="n">
        <x:v>158779353</x:v>
      </x:c>
      <x:c r="F6" s="25" t="n">
        <x:v>84205</x:v>
      </x:c>
      <x:c r="G6" s="25" t="n">
        <x:v>31017871009</x:v>
      </x:c>
      <x:c r="H6" s="25" t="n">
        <x:v>0</x:v>
      </x:c>
      <x:c r="I6" s="25" t="n">
        <x:v>349438</x:v>
      </x:c>
      <x:c r="J6" s="25" t="n">
        <x:f>SUM(D6:G6)</x:f>
        <x:v>33648603514</x:v>
      </x:c>
      <x:c r="K6" s="25" t="n">
        <x:f>J6+H6+I6</x:f>
        <x:v>33648952952</x:v>
      </x:c>
      <x:c r="L6" s="27" t="n">
        <x:v>29115.27601257</x:v>
      </x:c>
    </x:row>
    <x:row r="7">
      <x:c r="A7" s="24" t="str">
        <x:v>合计 / Total</x:v>
      </x:c>
      <x:c r="B7" s="26" t="n">
        <x:f>SUM(B5:B6)</x:f>
        <x:v>10</x:v>
      </x:c>
      <x:c r="C7" s="26" t="n">
        <x:f>SUM(C5:C6)</x:f>
        <x:v>471708</x:v>
      </x:c>
      <x:c r="D7" s="26" t="n">
        <x:f>SUM(D5:D6)</x:f>
        <x:v>4027559110</x:v>
      </x:c>
      <x:c r="E7" s="26" t="n">
        <x:f>SUM(E5:E6)</x:f>
        <x:v>257230793</x:v>
      </x:c>
      <x:c r="F7" s="26" t="n">
        <x:f>SUM(F5:F6)</x:f>
        <x:v>84205</x:v>
      </x:c>
      <x:c r="G7" s="26" t="n">
        <x:f>SUM(G5:G6)</x:f>
        <x:v>47477969057</x:v>
      </x:c>
      <x:c r="H7" s="26" t="n">
        <x:f>SUM(H5:H6)</x:f>
        <x:v>0</x:v>
      </x:c>
      <x:c r="I7" s="26" t="n">
        <x:f>SUM(I5:I6)</x:f>
        <x:v>4388131</x:v>
      </x:c>
      <x:c r="J7" s="26" t="n">
        <x:f>SUM(J5:J6)</x:f>
        <x:v>51762843165</x:v>
      </x:c>
      <x:c r="K7" s="26" t="n">
        <x:f>SUM(K5:K6)</x:f>
        <x:v>51767231296</x:v>
      </x:c>
      <x:c r="L7" s="28" t="n">
        <x:f>SUM(L5:L6)</x:f>
        <x:v>49220.2129200532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ca56948e75d4d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</x:cols>
  <x:sheetData>
    <x:row r="1" ht="30" customHeight="1">
      <x:c r="A1" s="16" t="str">
        <x:v>Sub2API 每个分组 Token 用量 / Per-Group Token Usage</x:v>
      </x:c>
      <x:c r="B1" s="16" t="str">
        <x:v>Sub2API 每个分组 Token 用量 / Per-Group Token Usage</x:v>
      </x:c>
      <x:c r="C1" s="16" t="str">
        <x:v>Sub2API 每个分组 Token 用量 / Per-Group Token Usage</x:v>
      </x:c>
      <x:c r="D1" s="16" t="str">
        <x:v>Sub2API 每个分组 Token 用量 / Per-Group Token Usage</x:v>
      </x:c>
      <x:c r="E1" s="16" t="str">
        <x:v>Sub2API 每个分组 Token 用量 / Per-Group Token Usage</x:v>
      </x:c>
      <x:c r="F1" s="16" t="str">
        <x:v>Sub2API 每个分组 Token 用量 / Per-Group Token Usage</x:v>
      </x:c>
      <x:c r="G1" s="16" t="str">
        <x:v>Sub2API 每个分组 Token 用量 / Per-Group Token Usage</x:v>
      </x:c>
      <x:c r="H1" s="16" t="str">
        <x:v>Sub2API 每个分组 Token 用量 / Per-Group Token Usage</x:v>
      </x:c>
      <x:c r="I1" s="16" t="str">
        <x:v>Sub2API 每个分组 Token 用量 / Per-Group Token Usage</x:v>
      </x:c>
      <x:c r="J1" s="16" t="str">
        <x:v>Sub2API 每个分组 Token 用量 / Per-Group Token Usage</x:v>
      </x:c>
      <x:c r="K1" s="16" t="str">
        <x:v>Sub2API 每个分组 Token 用量 / Per-Group Token Usage</x:v>
      </x:c>
      <x:c r="L1" s="16" t="str">
        <x:v>Sub2API 每个分组 Token 用量 / Per-Group Token Usage</x:v>
      </x:c>
      <x:c r="M1" s="16" t="str">
        <x:v>Sub2API 每个分组 Token 用量 / Per-Group Token Usage</x:v>
      </x:c>
    </x:row>
    <x:row r="2" ht="24" customHeight="1">
      <x:c r="A2" s="22" t="str">
        <x:v>统计范围 / Period: 2026-08-01 至 2026-08-18；按请求次数从多到少排序；Key数为分组内有用量的去重 API Key 数</x:v>
      </x:c>
      <x:c r="B2" s="22" t="str">
        <x:v>统计范围 / Period: 2026-08-01 至 2026-08-18；按请求次数从多到少排序；Key数为分组内有用量的去重 API Key 数</x:v>
      </x:c>
      <x:c r="C2" s="22" t="str">
        <x:v>统计范围 / Period: 2026-08-01 至 2026-08-18；按请求次数从多到少排序；Key数为分组内有用量的去重 API Key 数</x:v>
      </x:c>
      <x:c r="D2" s="22" t="str">
        <x:v>统计范围 / Period: 2026-08-01 至 2026-08-18；按请求次数从多到少排序；Key数为分组内有用量的去重 API Key 数</x:v>
      </x:c>
      <x:c r="E2" s="22" t="str">
        <x:v>统计范围 / Period: 2026-08-01 至 2026-08-18；按请求次数从多到少排序；Key数为分组内有用量的去重 API Key 数</x:v>
      </x:c>
      <x:c r="F2" s="22" t="str">
        <x:v>统计范围 / Period: 2026-08-01 至 2026-08-18；按请求次数从多到少排序；Key数为分组内有用量的去重 API Key 数</x:v>
      </x:c>
      <x:c r="G2" s="22" t="str">
        <x:v>统计范围 / Period: 2026-08-01 至 2026-08-18；按请求次数从多到少排序；Key数为分组内有用量的去重 API Key 数</x:v>
      </x:c>
      <x:c r="H2" s="22" t="str">
        <x:v>统计范围 / Period: 2026-08-01 至 2026-08-18；按请求次数从多到少排序；Key数为分组内有用量的去重 API Key 数</x:v>
      </x:c>
      <x:c r="I2" s="22" t="str">
        <x:v>统计范围 / Period: 2026-08-01 至 2026-08-18；按请求次数从多到少排序；Key数为分组内有用量的去重 API Key 数</x:v>
      </x:c>
      <x:c r="J2" s="22" t="str">
        <x:v>统计范围 / Period: 2026-08-01 至 2026-08-18；按请求次数从多到少排序；Key数为分组内有用量的去重 API Key 数</x:v>
      </x:c>
      <x:c r="K2" s="22" t="str">
        <x:v>统计范围 / Period: 2026-08-01 至 2026-08-18；按请求次数从多到少排序；Key数为分组内有用量的去重 API Key 数</x:v>
      </x:c>
      <x:c r="L2" s="22" t="str">
        <x:v>统计范围 / Period: 2026-08-01 至 2026-08-18；按请求次数从多到少排序；Key数为分组内有用量的去重 API Key 数</x:v>
      </x:c>
      <x:c r="M2" s="22" t="str">
        <x:v>统计范围 / Period: 2026-08-01 至 2026-08-18；按请求次数从多到少排序；Key数为分组内有用量的去重 API Key 数</x:v>
      </x:c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 ht="32" customHeight="1">
      <x:c r="A4" s="19" t="str">
        <x:v>服务器 / Server</x:v>
      </x:c>
      <x:c r="B4" s="19" t="str">
        <x:v>分组 / Group</x:v>
      </x:c>
      <x:c r="C4" s="19" t="str">
        <x:v>Key数 / Keys</x:v>
      </x:c>
      <x:c r="D4" s="19" t="str">
        <x:v>请求数 / Requests</x:v>
      </x:c>
      <x:c r="E4" s="19" t="str">
        <x:v>Input Token</x:v>
      </x:c>
      <x:c r="F4" s="19" t="str">
        <x:v>Output Token</x:v>
      </x:c>
      <x:c r="G4" s="19" t="str">
        <x:v>Cache Creation</x:v>
      </x:c>
      <x:c r="H4" s="19" t="str">
        <x:v>Cache Read</x:v>
      </x:c>
      <x:c r="I4" s="19" t="str">
        <x:v>Image Input</x:v>
      </x:c>
      <x:c r="J4" s="19" t="str">
        <x:v>Image Output</x:v>
      </x:c>
      <x:c r="K4" s="19" t="str">
        <x:v>Total Token</x:v>
      </x:c>
      <x:c r="L4" s="19" t="str">
        <x:v>Total含图片 / Total+Image</x:v>
      </x:c>
      <x:c r="M4" s="19" t="str">
        <x:v>Actual Cost</x:v>
      </x:c>
    </x:row>
    <x:row r="5">
      <x:c r="A5" s="20" t="str">
        <x:v>美西</x:v>
      </x:c>
      <x:c r="B5" s="20" t="str">
        <x:v>研发Codex</x:v>
      </x:c>
      <x:c r="C5" s="25" t="n">
        <x:v>72</x:v>
      </x:c>
      <x:c r="D5" s="25" t="n">
        <x:v>287648</x:v>
      </x:c>
      <x:c r="E5" s="25" t="n">
        <x:v>2471868913</x:v>
      </x:c>
      <x:c r="F5" s="25" t="n">
        <x:v>158779286</x:v>
      </x:c>
      <x:c r="G5" s="25" t="n">
        <x:v>0</x:v>
      </x:c>
      <x:c r="H5" s="25" t="n">
        <x:v>31017871008</x:v>
      </x:c>
      <x:c r="I5" s="25" t="n">
        <x:v>0</x:v>
      </x:c>
      <x:c r="J5" s="25" t="n">
        <x:v>349438</x:v>
      </x:c>
      <x:c r="K5" s="25" t="n">
        <x:f>SUM(E5:H5)</x:f>
        <x:v>33648519207</x:v>
      </x:c>
      <x:c r="L5" s="25" t="n">
        <x:f>K5+I5+J5</x:f>
        <x:v>33648868645</x:v>
      </x:c>
      <x:c r="M5" s="27" t="n">
        <x:v>29114.74788582</x:v>
      </x:c>
    </x:row>
    <x:row r="6">
      <x:c r="A6" s="20" t="str">
        <x:v>东京</x:v>
      </x:c>
      <x:c r="B6" s="20" t="str">
        <x:v>测试</x:v>
      </x:c>
      <x:c r="C6" s="25" t="n">
        <x:v>42</x:v>
      </x:c>
      <x:c r="D6" s="25" t="n">
        <x:v>62989</x:v>
      </x:c>
      <x:c r="E6" s="25" t="n">
        <x:v>498021765</x:v>
      </x:c>
      <x:c r="F6" s="25" t="n">
        <x:v>29172068</x:v>
      </x:c>
      <x:c r="G6" s="25" t="n">
        <x:v>0</x:v>
      </x:c>
      <x:c r="H6" s="25" t="n">
        <x:v>4627528320</x:v>
      </x:c>
      <x:c r="I6" s="25" t="n">
        <x:v>0</x:v>
      </x:c>
      <x:c r="J6" s="25" t="n">
        <x:v>0</x:v>
      </x:c>
      <x:c r="K6" s="25" t="n">
        <x:f>SUM(E6:H6)</x:f>
        <x:v>5154722153</x:v>
      </x:c>
      <x:c r="L6" s="25" t="n">
        <x:f>K6+I6+J6</x:f>
        <x:v>5154722153</x:v>
      </x:c>
      <x:c r="M6" s="27" t="n">
        <x:v>5082.437663648</x:v>
      </x:c>
    </x:row>
    <x:row r="7">
      <x:c r="A7" s="20" t="str">
        <x:v>东京</x:v>
      </x:c>
      <x:c r="B7" s="20" t="str">
        <x:v>大数据</x:v>
      </x:c>
      <x:c r="C7" s="25" t="n">
        <x:v>18</x:v>
      </x:c>
      <x:c r="D7" s="25" t="n">
        <x:v>48945</x:v>
      </x:c>
      <x:c r="E7" s="25" t="n">
        <x:v>338444209</x:v>
      </x:c>
      <x:c r="F7" s="25" t="n">
        <x:v>27015911</x:v>
      </x:c>
      <x:c r="G7" s="25" t="n">
        <x:v>0</x:v>
      </x:c>
      <x:c r="H7" s="25" t="n">
        <x:v>4031084032</x:v>
      </x:c>
      <x:c r="I7" s="25" t="n">
        <x:v>0</x:v>
      </x:c>
      <x:c r="J7" s="25" t="n">
        <x:v>4018996</x:v>
      </x:c>
      <x:c r="K7" s="25" t="n">
        <x:f>SUM(E7:H7)</x:f>
        <x:v>4396544152</x:v>
      </x:c>
      <x:c r="L7" s="25" t="n">
        <x:f>K7+I7+J7</x:f>
        <x:v>4400563148</x:v>
      </x:c>
      <x:c r="M7" s="27" t="n">
        <x:v>6614.1312170088</x:v>
      </x:c>
    </x:row>
    <x:row r="8">
      <x:c r="A8" s="20" t="str">
        <x:v>东京</x:v>
      </x:c>
      <x:c r="B8" s="20" t="str">
        <x:v>产品</x:v>
      </x:c>
      <x:c r="C8" s="25" t="n">
        <x:v>13</x:v>
      </x:c>
      <x:c r="D8" s="25" t="n">
        <x:v>30839</x:v>
      </x:c>
      <x:c r="E8" s="25" t="n">
        <x:v>238433053</x:v>
      </x:c>
      <x:c r="F8" s="25" t="n">
        <x:v>20374598</x:v>
      </x:c>
      <x:c r="G8" s="25" t="n">
        <x:v>0</x:v>
      </x:c>
      <x:c r="H8" s="25" t="n">
        <x:v>3195246336</x:v>
      </x:c>
      <x:c r="I8" s="25" t="n">
        <x:v>0</x:v>
      </x:c>
      <x:c r="J8" s="25" t="n">
        <x:v>19697</x:v>
      </x:c>
      <x:c r="K8" s="25" t="n">
        <x:f>SUM(E8:H8)</x:f>
        <x:v>3454053987</x:v>
      </x:c>
      <x:c r="L8" s="25" t="n">
        <x:f>K8+I8+J8</x:f>
        <x:v>3454073684</x:v>
      </x:c>
      <x:c r="M8" s="27" t="n">
        <x:v>3271.3483132336</x:v>
      </x:c>
    </x:row>
    <x:row r="9">
      <x:c r="A9" s="20" t="str">
        <x:v>东京</x:v>
      </x:c>
      <x:c r="B9" s="20" t="str">
        <x:v>嵌入式</x:v>
      </x:c>
      <x:c r="C9" s="25" t="n">
        <x:v>13</x:v>
      </x:c>
      <x:c r="D9" s="25" t="n">
        <x:v>15619</x:v>
      </x:c>
      <x:c r="E9" s="25" t="n">
        <x:v>153091186</x:v>
      </x:c>
      <x:c r="F9" s="25" t="n">
        <x:v>7823900</x:v>
      </x:c>
      <x:c r="G9" s="25" t="n">
        <x:v>0</x:v>
      </x:c>
      <x:c r="H9" s="25" t="n">
        <x:v>2008949120</x:v>
      </x:c>
      <x:c r="I9" s="25" t="n">
        <x:v>0</x:v>
      </x:c>
      <x:c r="J9" s="25" t="n">
        <x:v>0</x:v>
      </x:c>
      <x:c r="K9" s="25" t="n">
        <x:f>SUM(E9:H9)</x:f>
        <x:v>2169864206</x:v>
      </x:c>
      <x:c r="L9" s="25" t="n">
        <x:f>K9+I9+J9</x:f>
        <x:v>2169864206</x:v>
      </x:c>
      <x:c r="M9" s="27" t="n">
        <x:v>1991.891882244</x:v>
      </x:c>
    </x:row>
    <x:row r="10">
      <x:c r="A10" s="20" t="str">
        <x:v>东京</x:v>
      </x:c>
      <x:c r="B10" s="20" t="str">
        <x:v>UI</x:v>
      </x:c>
      <x:c r="C10" s="25" t="n">
        <x:v>5</x:v>
      </x:c>
      <x:c r="D10" s="25" t="n">
        <x:v>14869</x:v>
      </x:c>
      <x:c r="E10" s="25" t="n">
        <x:v>241195484</x:v>
      </x:c>
      <x:c r="F10" s="25" t="n">
        <x:v>9195203</x:v>
      </x:c>
      <x:c r="G10" s="25" t="n">
        <x:v>0</x:v>
      </x:c>
      <x:c r="H10" s="25" t="n">
        <x:v>1611443712</x:v>
      </x:c>
      <x:c r="I10" s="25" t="n">
        <x:v>0</x:v>
      </x:c>
      <x:c r="J10" s="25" t="n">
        <x:v>0</x:v>
      </x:c>
      <x:c r="K10" s="25" t="n">
        <x:f>SUM(E10:H10)</x:f>
        <x:v>1861834399</x:v>
      </x:c>
      <x:c r="L10" s="25" t="n">
        <x:f>K10+I10+J10</x:f>
        <x:v>1861834399</x:v>
      </x:c>
      <x:c r="M10" s="27" t="n">
        <x:v>2081.9211813952</x:v>
      </x:c>
    </x:row>
    <x:row r="11">
      <x:c r="A11" s="20" t="str">
        <x:v>东京</x:v>
      </x:c>
      <x:c r="B11" s="20" t="str">
        <x:v>架构</x:v>
      </x:c>
      <x:c r="C11" s="25" t="n">
        <x:v>3</x:v>
      </x:c>
      <x:c r="D11" s="25" t="n">
        <x:v>6703</x:v>
      </x:c>
      <x:c r="E11" s="25" t="n">
        <x:v>56215932</x:v>
      </x:c>
      <x:c r="F11" s="25" t="n">
        <x:v>2784549</x:v>
      </x:c>
      <x:c r="G11" s="25" t="n">
        <x:v>0</x:v>
      </x:c>
      <x:c r="H11" s="25" t="n">
        <x:v>717768064</x:v>
      </x:c>
      <x:c r="I11" s="25" t="n">
        <x:v>0</x:v>
      </x:c>
      <x:c r="J11" s="25" t="n">
        <x:v>0</x:v>
      </x:c>
      <x:c r="K11" s="25" t="n">
        <x:f>SUM(E11:H11)</x:f>
        <x:v>776768545</x:v>
      </x:c>
      <x:c r="L11" s="25" t="n">
        <x:f>K11+I11+J11</x:f>
        <x:v>776768545</x:v>
      </x:c>
      <x:c r="M11" s="27" t="n">
        <x:v>716.2425378456</x:v>
      </x:c>
    </x:row>
    <x:row r="12">
      <x:c r="A12" s="20" t="str">
        <x:v>东京</x:v>
      </x:c>
      <x:c r="B12" s="20" t="str">
        <x:v>运营</x:v>
      </x:c>
      <x:c r="C12" s="25" t="n">
        <x:v>6</x:v>
      </x:c>
      <x:c r="D12" s="25" t="n">
        <x:v>3718</x:v>
      </x:c>
      <x:c r="E12" s="25" t="n">
        <x:v>27428163</x:v>
      </x:c>
      <x:c r="F12" s="25" t="n">
        <x:v>1846044</x:v>
      </x:c>
      <x:c r="G12" s="25" t="n">
        <x:v>0</x:v>
      </x:c>
      <x:c r="H12" s="25" t="n">
        <x:v>246208768</x:v>
      </x:c>
      <x:c r="I12" s="25" t="n">
        <x:v>0</x:v>
      </x:c>
      <x:c r="J12" s="25" t="n">
        <x:v>0</x:v>
      </x:c>
      <x:c r="K12" s="25" t="n">
        <x:f>SUM(E12:H12)</x:f>
        <x:v>275482975</x:v>
      </x:c>
      <x:c r="L12" s="25" t="n">
        <x:f>K12+I12+J12</x:f>
        <x:v>275482975</x:v>
      </x:c>
      <x:c r="M12" s="27" t="n">
        <x:v>314.552399108</x:v>
      </x:c>
    </x:row>
    <x:row r="13">
      <x:c r="A13" s="20" t="str">
        <x:v>东京</x:v>
      </x:c>
      <x:c r="B13" s="20" t="str">
        <x:v>运维</x:v>
      </x:c>
      <x:c r="C13" s="25" t="n">
        <x:v>1</x:v>
      </x:c>
      <x:c r="D13" s="25" t="n">
        <x:v>376</x:v>
      </x:c>
      <x:c r="E13" s="25" t="n">
        <x:v>2860371</x:v>
      </x:c>
      <x:c r="F13" s="25" t="n">
        <x:v>239167</x:v>
      </x:c>
      <x:c r="G13" s="25" t="n">
        <x:v>0</x:v>
      </x:c>
      <x:c r="H13" s="25" t="n">
        <x:v>21869696</x:v>
      </x:c>
      <x:c r="I13" s="25" t="n">
        <x:v>0</x:v>
      </x:c>
      <x:c r="J13" s="25" t="n">
        <x:v>0</x:v>
      </x:c>
      <x:c r="K13" s="25" t="n">
        <x:f>SUM(E13:H13)</x:f>
        <x:v>24969234</x:v>
      </x:c>
      <x:c r="L13" s="25" t="n">
        <x:f>K13+I13+J13</x:f>
        <x:v>24969234</x:v>
      </x:c>
      <x:c r="M13" s="27" t="n">
        <x:v>32.411713</x:v>
      </x:c>
    </x:row>
    <x:row r="14">
      <x:c r="A14" s="20" t="str">
        <x:v>美西</x:v>
      </x:c>
      <x:c r="B14" s="20" t="str">
        <x:v>研发Claude</x:v>
      </x:c>
      <x:c r="C14" s="25" t="n">
        <x:v>1</x:v>
      </x:c>
      <x:c r="D14" s="25" t="n">
        <x:v>2</x:v>
      </x:c>
      <x:c r="E14" s="25" t="n">
        <x:v>34</x:v>
      </x:c>
      <x:c r="F14" s="25" t="n">
        <x:v>67</x:v>
      </x:c>
      <x:c r="G14" s="25" t="n">
        <x:v>84205</x:v>
      </x:c>
      <x:c r="H14" s="25" t="n">
        <x:v>1</x:v>
      </x:c>
      <x:c r="I14" s="25" t="n">
        <x:v>0</x:v>
      </x:c>
      <x:c r="J14" s="25" t="n">
        <x:v>0</x:v>
      </x:c>
      <x:c r="K14" s="25" t="n">
        <x:f>SUM(E14:H14)</x:f>
        <x:v>84307</x:v>
      </x:c>
      <x:c r="L14" s="25" t="n">
        <x:f>K14+I14+J14</x:f>
        <x:v>84307</x:v>
      </x:c>
      <x:c r="M14" s="27" t="n">
        <x:v>0.52812675</x:v>
      </x:c>
    </x:row>
    <x:row r="15">
      <x:c r="A15" s="24" t="str">
        <x:v>合计 / Total</x:v>
      </x:c>
      <x:c r="B15" s="24"/>
      <x:c r="C15" s="26" t="n">
        <x:f>SUM(C5:C14)</x:f>
        <x:v>174</x:v>
      </x:c>
      <x:c r="D15" s="26" t="n">
        <x:f>SUM(D5:D14)</x:f>
        <x:v>471708</x:v>
      </x:c>
      <x:c r="E15" s="26" t="n">
        <x:f>SUM(E5:E14)</x:f>
        <x:v>4027559110</x:v>
      </x:c>
      <x:c r="F15" s="26" t="n">
        <x:f>SUM(F5:F14)</x:f>
        <x:v>257230793</x:v>
      </x:c>
      <x:c r="G15" s="26" t="n">
        <x:f>SUM(G5:G14)</x:f>
        <x:v>84205</x:v>
      </x:c>
      <x:c r="H15" s="26" t="n">
        <x:f>SUM(H5:H14)</x:f>
        <x:v>47477969057</x:v>
      </x:c>
      <x:c r="I15" s="26" t="n">
        <x:f>SUM(I5:I14)</x:f>
        <x:v>0</x:v>
      </x:c>
      <x:c r="J15" s="26" t="n">
        <x:f>SUM(J5:J14)</x:f>
        <x:v>4388131</x:v>
      </x:c>
      <x:c r="K15" s="26" t="n">
        <x:f>SUM(K5:K14)</x:f>
        <x:v>51762843165</x:v>
      </x:c>
      <x:c r="L15" s="26" t="n">
        <x:f>SUM(L5:L14)</x:f>
        <x:v>51767231296</x:v>
      </x:c>
      <x:c r="M15" s="28" t="n">
        <x:f>SUM(M5:M14)</x:f>
        <x:v>49220.2129200532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e0f8bbe24ee49b9"/>
  </x:tableParts>
</x:worksheet>
</file>